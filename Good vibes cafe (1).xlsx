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haraja\"/>
    </mc:Choice>
  </mc:AlternateContent>
  <xr:revisionPtr revIDLastSave="0" documentId="8_{F694CF46-0E4C-48E9-A43F-DD9AF4CFA4B6}" xr6:coauthVersionLast="47" xr6:coauthVersionMax="47" xr10:uidLastSave="{00000000-0000-0000-0000-000000000000}"/>
  <bookViews>
    <workbookView xWindow="-108" yWindow="-108" windowWidth="23256" windowHeight="12456" activeTab="4" xr2:uid="{12D81512-5843-46A2-9D4A-3BD5C8DAD72E}"/>
  </bookViews>
  <sheets>
    <sheet name="Problem." sheetId="1" r:id="rId1"/>
    <sheet name="Journal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D24" i="4"/>
  <c r="H100" i="3"/>
  <c r="D87" i="3"/>
  <c r="D31" i="3"/>
</calcChain>
</file>

<file path=xl/sharedStrings.xml><?xml version="1.0" encoding="utf-8"?>
<sst xmlns="http://schemas.openxmlformats.org/spreadsheetml/2006/main" count="482" uniqueCount="129">
  <si>
    <t>Cash A/c</t>
  </si>
  <si>
    <t>Dr</t>
  </si>
  <si>
    <t>Date</t>
  </si>
  <si>
    <t>Particulars</t>
  </si>
  <si>
    <t>L.F</t>
  </si>
  <si>
    <t>Credit₹</t>
  </si>
  <si>
    <t>Debit₹</t>
  </si>
  <si>
    <t xml:space="preserve">  To Capital A/c</t>
  </si>
  <si>
    <t>(Being commenced business with cash)</t>
  </si>
  <si>
    <t>Bank A/c</t>
  </si>
  <si>
    <t xml:space="preserve">  To Cash A/c</t>
  </si>
  <si>
    <t>(Being deposited cash into bank)</t>
  </si>
  <si>
    <t>Rent A/c</t>
  </si>
  <si>
    <t xml:space="preserve">  To Bank A/c</t>
  </si>
  <si>
    <t>(Being paid rent by cheque)</t>
  </si>
  <si>
    <t>Furniture A/c</t>
  </si>
  <si>
    <t>(Being purchased furniture for cash)</t>
  </si>
  <si>
    <t>Espresso machine A/c</t>
  </si>
  <si>
    <t>(Being purchased espresso machine form Café equipment ltd on credit)</t>
  </si>
  <si>
    <t>Stationery A/c</t>
  </si>
  <si>
    <t>(Being paid stationery)</t>
  </si>
  <si>
    <t xml:space="preserve">  To Café equipments Ltd A/c</t>
  </si>
  <si>
    <t>Purchase A/c</t>
  </si>
  <si>
    <t>(Being purchased groceries for cash)</t>
  </si>
  <si>
    <t xml:space="preserve">  To Sales A/c</t>
  </si>
  <si>
    <t>(Being sold coffee and snacks for cash)</t>
  </si>
  <si>
    <t>Advertisement A/c</t>
  </si>
  <si>
    <t xml:space="preserve"> </t>
  </si>
  <si>
    <t>(Being paid for local magazine feature advertisement)</t>
  </si>
  <si>
    <t>Electricity bill A/c</t>
  </si>
  <si>
    <t>(Being paid electricity bill)</t>
  </si>
  <si>
    <t xml:space="preserve">  To Bharat suppliers A/c</t>
  </si>
  <si>
    <t>(Being purchased groceries on credit form Bharat suppliers)</t>
  </si>
  <si>
    <t>(Being cash sales)</t>
  </si>
  <si>
    <t xml:space="preserve">Bharat suppliers A/c </t>
  </si>
  <si>
    <t>(Being paid bharat suppliers in full settlement)</t>
  </si>
  <si>
    <t>Water bill A/c</t>
  </si>
  <si>
    <t>(Being paid water bill)</t>
  </si>
  <si>
    <t>Salaries A/c</t>
  </si>
  <si>
    <t>(Being purchased groceries)</t>
  </si>
  <si>
    <t>Café Equipment Ltd A/c</t>
  </si>
  <si>
    <t>(Being paid café equipment ltd against our dues)</t>
  </si>
  <si>
    <t>Internet bill A/c</t>
  </si>
  <si>
    <t>(Being paid internet bill for the café)</t>
  </si>
  <si>
    <t>Cutlery A/c</t>
  </si>
  <si>
    <t>(Bering purchased new cutlery for cash)</t>
  </si>
  <si>
    <t>Microwave oven A/c</t>
  </si>
  <si>
    <t>(Being purchased microwave oven for cash)</t>
  </si>
  <si>
    <t>(Being withdrew cash for office use)</t>
  </si>
  <si>
    <t>Cleaning service A/c</t>
  </si>
  <si>
    <t>(Being paid for deep cleaning service)</t>
  </si>
  <si>
    <t>Legal consultation fee A/c</t>
  </si>
  <si>
    <t>(Being paid leagal consultation fee)</t>
  </si>
  <si>
    <t>(Being paid salaries to the staffs)</t>
  </si>
  <si>
    <t>(Being paid salaries to the staff)</t>
  </si>
  <si>
    <t>J.F</t>
  </si>
  <si>
    <t>Amount₹</t>
  </si>
  <si>
    <t>Capital A/C</t>
  </si>
  <si>
    <t>Cr.</t>
  </si>
  <si>
    <t>Dr.</t>
  </si>
  <si>
    <t>By Cash A/c</t>
  </si>
  <si>
    <t>To Balance C/d</t>
  </si>
  <si>
    <t>In the Books of Good vibes café.Preperation of Journal entries for the month of April and May 2026.</t>
  </si>
  <si>
    <t>By Balance C/d</t>
  </si>
  <si>
    <t>Cash A/C</t>
  </si>
  <si>
    <t>In the books of Good vibes café.Prepration of Ledger for the month of April to May 2026.</t>
  </si>
  <si>
    <t>To Capital A/c</t>
  </si>
  <si>
    <t>By Bank A/c</t>
  </si>
  <si>
    <t>By Furniture A/c</t>
  </si>
  <si>
    <t>By Stationery A/c</t>
  </si>
  <si>
    <t>By Purchase A/c</t>
  </si>
  <si>
    <t>To Sales A/c</t>
  </si>
  <si>
    <t>By Advertisment A/c</t>
  </si>
  <si>
    <t>By Electricity Bill A/c</t>
  </si>
  <si>
    <t>By Bharat Suppliers A/c</t>
  </si>
  <si>
    <t>By Water Bill A/c</t>
  </si>
  <si>
    <t>By Salaries A/c</t>
  </si>
  <si>
    <t>By Café equipment Ltd A/c</t>
  </si>
  <si>
    <t>By Internet Bill A/c</t>
  </si>
  <si>
    <t>By Cuttlery A/c</t>
  </si>
  <si>
    <t>By Microwave oven A/c</t>
  </si>
  <si>
    <t>To Bank A/c</t>
  </si>
  <si>
    <t>By Cleaning Service A/c</t>
  </si>
  <si>
    <t>By Leagel consultation fee A/c</t>
  </si>
  <si>
    <t>Bank A/C</t>
  </si>
  <si>
    <t>To Cash A/c</t>
  </si>
  <si>
    <t>To Balance B/d</t>
  </si>
  <si>
    <t>By Rent A/c</t>
  </si>
  <si>
    <t>By cash A/c</t>
  </si>
  <si>
    <t>Rent A/C</t>
  </si>
  <si>
    <t>Furniture A/C</t>
  </si>
  <si>
    <t>By Balance B/d</t>
  </si>
  <si>
    <t>Espresso mechine A/C</t>
  </si>
  <si>
    <t>To Café equipments Ltd A/c</t>
  </si>
  <si>
    <t>Café equipment Ltd A/C</t>
  </si>
  <si>
    <t>Espresso mechine A/c</t>
  </si>
  <si>
    <t xml:space="preserve">To Cash A/c </t>
  </si>
  <si>
    <t>Stationery A/C</t>
  </si>
  <si>
    <t>To Stationery A/c</t>
  </si>
  <si>
    <t>Purchase A/C</t>
  </si>
  <si>
    <t>To Bharat Suppliers A/c</t>
  </si>
  <si>
    <t>Sales A/C</t>
  </si>
  <si>
    <t>Advertisement A/C</t>
  </si>
  <si>
    <t>To Cash a/c</t>
  </si>
  <si>
    <t>Electricity Bill A/C</t>
  </si>
  <si>
    <t>Bharat Sippliers A/C</t>
  </si>
  <si>
    <t>Water Bill A/C</t>
  </si>
  <si>
    <t>Salaries A/C</t>
  </si>
  <si>
    <t>Internet Bill A/C</t>
  </si>
  <si>
    <t>To Internet Bill A/c</t>
  </si>
  <si>
    <t>Cutlery A/C</t>
  </si>
  <si>
    <t>Cleaning Searvices A/C</t>
  </si>
  <si>
    <t>Microwave Oven A/C</t>
  </si>
  <si>
    <t>Leagal Consultation Fee A/C</t>
  </si>
  <si>
    <t>S.No</t>
  </si>
  <si>
    <t>In the Books of Good vibes Café.Preperation of  Trail Balance for the month April to May.</t>
  </si>
  <si>
    <t>Café equipment Ltd A/c</t>
  </si>
  <si>
    <t xml:space="preserve">Purchaes A/c </t>
  </si>
  <si>
    <t>Electricity Bill A/c</t>
  </si>
  <si>
    <t>Bharat suppliers A/c</t>
  </si>
  <si>
    <t>-</t>
  </si>
  <si>
    <t>Water Bill A/c</t>
  </si>
  <si>
    <t>Internet Bill A/c</t>
  </si>
  <si>
    <t>Cleaning Services A/c</t>
  </si>
  <si>
    <t>Microwave Oven A/c</t>
  </si>
  <si>
    <t>Leagel Consultation Fee A/c</t>
  </si>
  <si>
    <t>Capital A/c</t>
  </si>
  <si>
    <t>Sales A/c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</si>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</sst>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wrapText="1"/>
    </xf>
    <xf numFmtId="164" fontId="0" fillId="0" borderId="0" xfId="1" applyNumberFormat="1" applyFont="1"/>
    <xf numFmtId="0" fontId="3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0" fontId="4" fillId="0" borderId="1" xfId="0" applyFont="1" applyBorder="1"/>
    <xf numFmtId="164" fontId="1" fillId="0" borderId="1" xfId="1" applyNumberFormat="1" applyFont="1" applyBorder="1"/>
    <xf numFmtId="16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4" fillId="0" borderId="0" xfId="1" applyNumberFormat="1" applyFont="1" applyBorder="1"/>
    <xf numFmtId="0" fontId="4" fillId="0" borderId="0" xfId="0" applyFont="1"/>
    <xf numFmtId="14" fontId="0" fillId="0" borderId="0" xfId="0" applyNumberFormat="1"/>
    <xf numFmtId="164" fontId="0" fillId="0" borderId="0" xfId="1" applyNumberFormat="1" applyFont="1" applyBorder="1"/>
    <xf numFmtId="164" fontId="4" fillId="0" borderId="2" xfId="1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164" fontId="1" fillId="0" borderId="0" xfId="1" applyNumberFormat="1" applyFont="1" applyBorder="1"/>
    <xf numFmtId="0" fontId="0" fillId="0" borderId="3" xfId="0" applyBorder="1"/>
    <xf numFmtId="164" fontId="0" fillId="0" borderId="3" xfId="1" applyNumberFormat="1" applyFont="1" applyBorder="1"/>
    <xf numFmtId="14" fontId="0" fillId="0" borderId="3" xfId="0" applyNumberFormat="1" applyBorder="1"/>
    <xf numFmtId="164" fontId="1" fillId="0" borderId="3" xfId="1" applyNumberFormat="1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4" fontId="0" fillId="0" borderId="1" xfId="0" applyNumberFormat="1" applyFont="1" applyBorder="1"/>
    <xf numFmtId="0" fontId="0" fillId="0" borderId="1" xfId="0" applyFont="1" applyBorder="1"/>
    <xf numFmtId="0" fontId="4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86F0-C443-4828-A387-4507A478E0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16EC-C150-4380-922F-81488093B9B3}">
  <dimension ref="A1:F115"/>
  <sheetViews>
    <sheetView topLeftCell="A52" zoomScale="145" zoomScaleNormal="145" workbookViewId="0">
      <selection activeCell="B93" sqref="B93"/>
    </sheetView>
  </sheetViews>
  <sheetFormatPr defaultRowHeight="14.4" x14ac:dyDescent="0.3"/>
  <cols>
    <col min="1" max="1" width="18.109375" customWidth="1"/>
    <col min="2" max="2" width="45.33203125" customWidth="1"/>
    <col min="3" max="3" width="3.44140625" customWidth="1"/>
    <col min="4" max="4" width="6.21875" customWidth="1"/>
    <col min="5" max="6" width="25" customWidth="1"/>
  </cols>
  <sheetData>
    <row r="1" spans="1:6" ht="40.200000000000003" customHeight="1" x14ac:dyDescent="0.35">
      <c r="A1" s="34" t="s">
        <v>62</v>
      </c>
      <c r="B1" s="34"/>
      <c r="C1" s="34"/>
      <c r="D1" s="34"/>
      <c r="E1" s="34"/>
      <c r="F1" s="34"/>
    </row>
    <row r="2" spans="1:6" ht="20.399999999999999" x14ac:dyDescent="0.35">
      <c r="A2" s="1"/>
      <c r="B2" s="7"/>
      <c r="C2" s="1"/>
      <c r="D2" s="1"/>
      <c r="E2" s="1"/>
      <c r="F2" s="1"/>
    </row>
    <row r="3" spans="1:6" ht="17.399999999999999" x14ac:dyDescent="0.3">
      <c r="A3" s="3" t="s">
        <v>2</v>
      </c>
      <c r="B3" s="3" t="s">
        <v>3</v>
      </c>
      <c r="C3" s="3"/>
      <c r="D3" s="3" t="s">
        <v>4</v>
      </c>
      <c r="E3" s="3" t="s">
        <v>6</v>
      </c>
      <c r="F3" s="3" t="s">
        <v>5</v>
      </c>
    </row>
    <row r="4" spans="1:6" x14ac:dyDescent="0.3">
      <c r="A4" s="4">
        <v>46113</v>
      </c>
      <c r="B4" s="8" t="s">
        <v>0</v>
      </c>
      <c r="C4" s="5" t="s">
        <v>1</v>
      </c>
      <c r="D4" s="5"/>
      <c r="E4" s="6">
        <v>800000</v>
      </c>
      <c r="F4" s="6"/>
    </row>
    <row r="5" spans="1:6" x14ac:dyDescent="0.3">
      <c r="A5" s="5"/>
      <c r="B5" s="8" t="s">
        <v>7</v>
      </c>
      <c r="C5" s="5"/>
      <c r="D5" s="5"/>
      <c r="E5" s="6"/>
      <c r="F5" s="6">
        <v>800000</v>
      </c>
    </row>
    <row r="6" spans="1:6" x14ac:dyDescent="0.3">
      <c r="A6" s="5"/>
      <c r="B6" s="8" t="s">
        <v>8</v>
      </c>
      <c r="C6" s="5"/>
      <c r="D6" s="5"/>
      <c r="E6" s="6"/>
      <c r="F6" s="6"/>
    </row>
    <row r="7" spans="1:6" x14ac:dyDescent="0.3">
      <c r="A7" s="4">
        <v>46114</v>
      </c>
      <c r="B7" s="8" t="s">
        <v>9</v>
      </c>
      <c r="C7" s="5" t="s">
        <v>1</v>
      </c>
      <c r="D7" s="5"/>
      <c r="E7" s="6">
        <v>450000</v>
      </c>
      <c r="F7" s="6"/>
    </row>
    <row r="8" spans="1:6" x14ac:dyDescent="0.3">
      <c r="A8" s="5"/>
      <c r="B8" s="8" t="s">
        <v>10</v>
      </c>
      <c r="C8" s="5"/>
      <c r="D8" s="5"/>
      <c r="E8" s="6"/>
      <c r="F8" s="6">
        <v>450000</v>
      </c>
    </row>
    <row r="9" spans="1:6" x14ac:dyDescent="0.3">
      <c r="A9" s="5"/>
      <c r="B9" s="8" t="s">
        <v>11</v>
      </c>
      <c r="C9" s="5"/>
      <c r="D9" s="5"/>
      <c r="E9" s="6"/>
      <c r="F9" s="6"/>
    </row>
    <row r="10" spans="1:6" x14ac:dyDescent="0.3">
      <c r="A10" s="4">
        <v>46115</v>
      </c>
      <c r="B10" s="8" t="s">
        <v>12</v>
      </c>
      <c r="C10" s="5" t="s">
        <v>1</v>
      </c>
      <c r="D10" s="5"/>
      <c r="E10" s="6">
        <v>30000</v>
      </c>
      <c r="F10" s="6"/>
    </row>
    <row r="11" spans="1:6" x14ac:dyDescent="0.3">
      <c r="A11" s="5"/>
      <c r="B11" s="8" t="s">
        <v>13</v>
      </c>
      <c r="C11" s="5"/>
      <c r="D11" s="5"/>
      <c r="E11" s="6"/>
      <c r="F11" s="6">
        <v>30000</v>
      </c>
    </row>
    <row r="12" spans="1:6" x14ac:dyDescent="0.3">
      <c r="A12" s="5"/>
      <c r="B12" s="8" t="s">
        <v>14</v>
      </c>
      <c r="C12" s="5"/>
      <c r="D12" s="5"/>
      <c r="E12" s="6"/>
      <c r="F12" s="6"/>
    </row>
    <row r="13" spans="1:6" x14ac:dyDescent="0.3">
      <c r="A13" s="4">
        <v>46116</v>
      </c>
      <c r="B13" s="8" t="s">
        <v>15</v>
      </c>
      <c r="C13" s="5" t="s">
        <v>1</v>
      </c>
      <c r="D13" s="5"/>
      <c r="E13" s="6">
        <v>75000</v>
      </c>
      <c r="F13" s="6"/>
    </row>
    <row r="14" spans="1:6" x14ac:dyDescent="0.3">
      <c r="A14" s="5"/>
      <c r="B14" s="8" t="s">
        <v>10</v>
      </c>
      <c r="C14" s="5"/>
      <c r="D14" s="5"/>
      <c r="E14" s="6"/>
      <c r="F14" s="6">
        <v>75000</v>
      </c>
    </row>
    <row r="15" spans="1:6" x14ac:dyDescent="0.3">
      <c r="A15" s="5"/>
      <c r="B15" s="8" t="s">
        <v>16</v>
      </c>
      <c r="C15" s="5"/>
      <c r="D15" s="5"/>
      <c r="E15" s="6"/>
      <c r="F15" s="6"/>
    </row>
    <row r="16" spans="1:6" x14ac:dyDescent="0.3">
      <c r="A16" s="4">
        <v>46117</v>
      </c>
      <c r="B16" s="8" t="s">
        <v>17</v>
      </c>
      <c r="C16" s="5" t="s">
        <v>1</v>
      </c>
      <c r="D16" s="5"/>
      <c r="E16" s="6">
        <v>55000</v>
      </c>
      <c r="F16" s="6"/>
    </row>
    <row r="17" spans="1:6" x14ac:dyDescent="0.3">
      <c r="A17" s="5"/>
      <c r="B17" s="8" t="s">
        <v>21</v>
      </c>
      <c r="C17" s="5"/>
      <c r="D17" s="5"/>
      <c r="E17" s="6"/>
      <c r="F17" s="6">
        <v>55000</v>
      </c>
    </row>
    <row r="18" spans="1:6" ht="28.8" x14ac:dyDescent="0.3">
      <c r="A18" s="5"/>
      <c r="B18" s="8" t="s">
        <v>18</v>
      </c>
      <c r="C18" s="5"/>
      <c r="D18" s="5"/>
      <c r="E18" s="6"/>
      <c r="F18" s="6"/>
    </row>
    <row r="19" spans="1:6" x14ac:dyDescent="0.3">
      <c r="A19" s="4">
        <v>46118</v>
      </c>
      <c r="B19" s="8" t="s">
        <v>19</v>
      </c>
      <c r="C19" s="5" t="s">
        <v>1</v>
      </c>
      <c r="D19" s="5"/>
      <c r="E19" s="6">
        <v>2500</v>
      </c>
      <c r="F19" s="6"/>
    </row>
    <row r="20" spans="1:6" x14ac:dyDescent="0.3">
      <c r="A20" s="5"/>
      <c r="B20" s="8" t="s">
        <v>10</v>
      </c>
      <c r="C20" s="5"/>
      <c r="D20" s="5"/>
      <c r="E20" s="6"/>
      <c r="F20" s="6">
        <v>2500</v>
      </c>
    </row>
    <row r="21" spans="1:6" x14ac:dyDescent="0.3">
      <c r="A21" s="5"/>
      <c r="B21" s="8" t="s">
        <v>20</v>
      </c>
      <c r="C21" s="5"/>
      <c r="D21" s="5"/>
      <c r="E21" s="6"/>
      <c r="F21" s="6"/>
    </row>
    <row r="22" spans="1:6" x14ac:dyDescent="0.3">
      <c r="A22" s="4">
        <v>46120</v>
      </c>
      <c r="B22" s="8" t="s">
        <v>22</v>
      </c>
      <c r="C22" s="5" t="s">
        <v>1</v>
      </c>
      <c r="D22" s="5"/>
      <c r="E22" s="6">
        <v>15000</v>
      </c>
      <c r="F22" s="6"/>
    </row>
    <row r="23" spans="1:6" x14ac:dyDescent="0.3">
      <c r="A23" s="5"/>
      <c r="B23" s="8" t="s">
        <v>10</v>
      </c>
      <c r="C23" s="5"/>
      <c r="D23" s="5"/>
      <c r="E23" s="6"/>
      <c r="F23" s="6">
        <v>15000</v>
      </c>
    </row>
    <row r="24" spans="1:6" x14ac:dyDescent="0.3">
      <c r="A24" s="5"/>
      <c r="B24" s="8" t="s">
        <v>23</v>
      </c>
      <c r="C24" s="5"/>
      <c r="D24" s="5"/>
      <c r="E24" s="6"/>
      <c r="F24" s="6"/>
    </row>
    <row r="25" spans="1:6" x14ac:dyDescent="0.3">
      <c r="A25" s="4">
        <v>46122</v>
      </c>
      <c r="B25" s="8" t="s">
        <v>0</v>
      </c>
      <c r="C25" s="5" t="s">
        <v>1</v>
      </c>
      <c r="D25" s="5"/>
      <c r="E25" s="6">
        <v>4800</v>
      </c>
      <c r="F25" s="6"/>
    </row>
    <row r="26" spans="1:6" x14ac:dyDescent="0.3">
      <c r="A26" s="5"/>
      <c r="B26" s="8" t="s">
        <v>24</v>
      </c>
      <c r="C26" s="5"/>
      <c r="D26" s="5"/>
      <c r="E26" s="6"/>
      <c r="F26" s="6">
        <v>4800</v>
      </c>
    </row>
    <row r="27" spans="1:6" x14ac:dyDescent="0.3">
      <c r="A27" s="5"/>
      <c r="B27" s="8" t="s">
        <v>25</v>
      </c>
      <c r="C27" s="5"/>
      <c r="D27" s="5"/>
      <c r="E27" s="6"/>
      <c r="F27" s="6"/>
    </row>
    <row r="28" spans="1:6" x14ac:dyDescent="0.3">
      <c r="A28" s="4">
        <v>46124</v>
      </c>
      <c r="B28" s="8" t="s">
        <v>26</v>
      </c>
      <c r="C28" s="5" t="s">
        <v>1</v>
      </c>
      <c r="D28" s="5"/>
      <c r="E28" s="6">
        <v>3000</v>
      </c>
      <c r="F28" s="6"/>
    </row>
    <row r="29" spans="1:6" x14ac:dyDescent="0.3">
      <c r="A29" s="5" t="s">
        <v>27</v>
      </c>
      <c r="B29" s="8" t="s">
        <v>10</v>
      </c>
      <c r="C29" s="5"/>
      <c r="D29" s="5"/>
      <c r="E29" s="6"/>
      <c r="F29" s="6">
        <v>3000</v>
      </c>
    </row>
    <row r="30" spans="1:6" x14ac:dyDescent="0.3">
      <c r="A30" s="5"/>
      <c r="B30" s="8" t="s">
        <v>28</v>
      </c>
      <c r="C30" s="5"/>
      <c r="D30" s="5"/>
      <c r="E30" s="6"/>
      <c r="F30" s="6"/>
    </row>
    <row r="31" spans="1:6" x14ac:dyDescent="0.3">
      <c r="A31" s="4">
        <v>46127</v>
      </c>
      <c r="B31" s="8" t="s">
        <v>0</v>
      </c>
      <c r="C31" s="5" t="s">
        <v>1</v>
      </c>
      <c r="D31" s="5"/>
      <c r="E31" s="6">
        <v>5500</v>
      </c>
      <c r="F31" s="6"/>
    </row>
    <row r="32" spans="1:6" x14ac:dyDescent="0.3">
      <c r="A32" s="5"/>
      <c r="B32" s="8" t="s">
        <v>24</v>
      </c>
      <c r="C32" s="5"/>
      <c r="D32" s="5"/>
      <c r="E32" s="6"/>
      <c r="F32" s="6">
        <v>5500</v>
      </c>
    </row>
    <row r="33" spans="1:6" x14ac:dyDescent="0.3">
      <c r="A33" s="5"/>
      <c r="B33" s="8" t="s">
        <v>25</v>
      </c>
      <c r="C33" s="5"/>
      <c r="D33" s="5"/>
      <c r="E33" s="6"/>
      <c r="F33" s="6"/>
    </row>
    <row r="34" spans="1:6" x14ac:dyDescent="0.3">
      <c r="A34" s="4">
        <v>46130</v>
      </c>
      <c r="B34" s="8" t="s">
        <v>29</v>
      </c>
      <c r="C34" s="5" t="s">
        <v>1</v>
      </c>
      <c r="D34" s="5"/>
      <c r="E34" s="6">
        <v>2200</v>
      </c>
      <c r="F34" s="6"/>
    </row>
    <row r="35" spans="1:6" x14ac:dyDescent="0.3">
      <c r="A35" s="5"/>
      <c r="B35" s="8" t="s">
        <v>10</v>
      </c>
      <c r="C35" s="5"/>
      <c r="D35" s="5"/>
      <c r="E35" s="6"/>
      <c r="F35" s="6">
        <v>2200</v>
      </c>
    </row>
    <row r="36" spans="1:6" x14ac:dyDescent="0.3">
      <c r="A36" s="5"/>
      <c r="B36" s="8" t="s">
        <v>30</v>
      </c>
      <c r="C36" s="5"/>
      <c r="D36" s="5"/>
      <c r="E36" s="6"/>
      <c r="F36" s="6"/>
    </row>
    <row r="37" spans="1:6" x14ac:dyDescent="0.3">
      <c r="A37" s="4">
        <v>46132</v>
      </c>
      <c r="B37" s="8" t="s">
        <v>22</v>
      </c>
      <c r="C37" s="5" t="s">
        <v>1</v>
      </c>
      <c r="D37" s="5"/>
      <c r="E37" s="6">
        <v>8000</v>
      </c>
      <c r="F37" s="6"/>
    </row>
    <row r="38" spans="1:6" x14ac:dyDescent="0.3">
      <c r="A38" s="5"/>
      <c r="B38" s="8" t="s">
        <v>31</v>
      </c>
      <c r="C38" s="5"/>
      <c r="D38" s="5"/>
      <c r="E38" s="6"/>
      <c r="F38" s="6">
        <v>8000</v>
      </c>
    </row>
    <row r="39" spans="1:6" ht="28.8" x14ac:dyDescent="0.3">
      <c r="A39" s="5"/>
      <c r="B39" s="8" t="s">
        <v>32</v>
      </c>
      <c r="C39" s="5"/>
      <c r="D39" s="5"/>
      <c r="E39" s="6"/>
      <c r="F39" s="6"/>
    </row>
    <row r="40" spans="1:6" x14ac:dyDescent="0.3">
      <c r="A40" s="4">
        <v>46134</v>
      </c>
      <c r="B40" s="8" t="s">
        <v>0</v>
      </c>
      <c r="C40" s="5" t="s">
        <v>1</v>
      </c>
      <c r="D40" s="5"/>
      <c r="E40" s="6">
        <v>6300</v>
      </c>
      <c r="F40" s="6"/>
    </row>
    <row r="41" spans="1:6" x14ac:dyDescent="0.3">
      <c r="A41" s="5"/>
      <c r="B41" s="8" t="s">
        <v>24</v>
      </c>
      <c r="C41" s="5"/>
      <c r="D41" s="5"/>
      <c r="E41" s="6"/>
      <c r="F41" s="6">
        <v>6300</v>
      </c>
    </row>
    <row r="42" spans="1:6" x14ac:dyDescent="0.3">
      <c r="A42" s="5"/>
      <c r="B42" s="8" t="s">
        <v>33</v>
      </c>
      <c r="C42" s="5"/>
      <c r="D42" s="5"/>
      <c r="E42" s="6"/>
      <c r="F42" s="6"/>
    </row>
    <row r="43" spans="1:6" x14ac:dyDescent="0.3">
      <c r="A43" s="4">
        <v>46137</v>
      </c>
      <c r="B43" s="8" t="s">
        <v>34</v>
      </c>
      <c r="C43" s="5" t="s">
        <v>1</v>
      </c>
      <c r="D43" s="5"/>
      <c r="E43" s="6">
        <v>8000</v>
      </c>
      <c r="F43" s="6"/>
    </row>
    <row r="44" spans="1:6" x14ac:dyDescent="0.3">
      <c r="A44" s="5"/>
      <c r="B44" s="8" t="s">
        <v>10</v>
      </c>
      <c r="C44" s="5"/>
      <c r="D44" s="5"/>
      <c r="E44" s="6"/>
      <c r="F44" s="6">
        <v>8000</v>
      </c>
    </row>
    <row r="45" spans="1:6" x14ac:dyDescent="0.3">
      <c r="A45" s="5"/>
      <c r="B45" s="8" t="s">
        <v>35</v>
      </c>
      <c r="C45" s="5"/>
      <c r="D45" s="5"/>
      <c r="E45" s="6"/>
      <c r="F45" s="6"/>
    </row>
    <row r="46" spans="1:6" x14ac:dyDescent="0.3">
      <c r="A46" s="4">
        <v>46138</v>
      </c>
      <c r="B46" s="8" t="s">
        <v>36</v>
      </c>
      <c r="C46" s="5" t="s">
        <v>1</v>
      </c>
      <c r="D46" s="5"/>
      <c r="E46" s="6">
        <v>800</v>
      </c>
      <c r="F46" s="6"/>
    </row>
    <row r="47" spans="1:6" x14ac:dyDescent="0.3">
      <c r="A47" s="5"/>
      <c r="B47" s="8" t="s">
        <v>10</v>
      </c>
      <c r="C47" s="5"/>
      <c r="D47" s="5"/>
      <c r="E47" s="6"/>
      <c r="F47" s="6">
        <v>800</v>
      </c>
    </row>
    <row r="48" spans="1:6" x14ac:dyDescent="0.3">
      <c r="A48" s="5"/>
      <c r="B48" s="8" t="s">
        <v>37</v>
      </c>
      <c r="C48" s="5"/>
      <c r="D48" s="5"/>
      <c r="E48" s="6"/>
      <c r="F48" s="6"/>
    </row>
    <row r="49" spans="1:6" x14ac:dyDescent="0.3">
      <c r="A49" s="4">
        <v>46140</v>
      </c>
      <c r="B49" s="8" t="s">
        <v>0</v>
      </c>
      <c r="C49" s="5" t="s">
        <v>1</v>
      </c>
      <c r="D49" s="5"/>
      <c r="E49" s="6">
        <v>7100</v>
      </c>
      <c r="F49" s="6"/>
    </row>
    <row r="50" spans="1:6" x14ac:dyDescent="0.3">
      <c r="A50" s="5"/>
      <c r="B50" s="8" t="s">
        <v>24</v>
      </c>
      <c r="C50" s="5"/>
      <c r="D50" s="5"/>
      <c r="E50" s="6"/>
      <c r="F50" s="6">
        <v>7100</v>
      </c>
    </row>
    <row r="51" spans="1:6" x14ac:dyDescent="0.3">
      <c r="A51" s="5"/>
      <c r="B51" s="8" t="s">
        <v>25</v>
      </c>
      <c r="C51" s="5"/>
      <c r="D51" s="5"/>
      <c r="E51" s="6"/>
      <c r="F51" s="6"/>
    </row>
    <row r="52" spans="1:6" x14ac:dyDescent="0.3">
      <c r="A52" s="4">
        <v>46142</v>
      </c>
      <c r="B52" s="8" t="s">
        <v>38</v>
      </c>
      <c r="C52" s="5" t="s">
        <v>1</v>
      </c>
      <c r="D52" s="5"/>
      <c r="E52" s="6">
        <v>24000</v>
      </c>
      <c r="F52" s="6"/>
    </row>
    <row r="53" spans="1:6" x14ac:dyDescent="0.3">
      <c r="A53" s="5"/>
      <c r="B53" s="8" t="s">
        <v>10</v>
      </c>
      <c r="C53" s="5"/>
      <c r="D53" s="5"/>
      <c r="E53" s="6"/>
      <c r="F53" s="6">
        <v>24000</v>
      </c>
    </row>
    <row r="54" spans="1:6" x14ac:dyDescent="0.3">
      <c r="A54" s="5"/>
      <c r="B54" s="8" t="s">
        <v>54</v>
      </c>
      <c r="C54" s="5"/>
      <c r="D54" s="5"/>
      <c r="E54" s="6"/>
      <c r="F54" s="6"/>
    </row>
    <row r="55" spans="1:6" x14ac:dyDescent="0.3">
      <c r="A55" s="4">
        <v>46143</v>
      </c>
      <c r="B55" s="8" t="s">
        <v>12</v>
      </c>
      <c r="C55" s="5" t="s">
        <v>1</v>
      </c>
      <c r="D55" s="5"/>
      <c r="E55" s="6">
        <v>30000</v>
      </c>
      <c r="F55" s="6"/>
    </row>
    <row r="56" spans="1:6" x14ac:dyDescent="0.3">
      <c r="A56" s="5"/>
      <c r="B56" s="8" t="s">
        <v>13</v>
      </c>
      <c r="C56" s="5"/>
      <c r="D56" s="5"/>
      <c r="E56" s="6"/>
      <c r="F56" s="6">
        <v>30000</v>
      </c>
    </row>
    <row r="57" spans="1:6" x14ac:dyDescent="0.3">
      <c r="A57" s="5"/>
      <c r="B57" s="8" t="s">
        <v>14</v>
      </c>
      <c r="C57" s="5"/>
      <c r="D57" s="5"/>
      <c r="E57" s="6"/>
      <c r="F57" s="6"/>
    </row>
    <row r="58" spans="1:6" x14ac:dyDescent="0.3">
      <c r="A58" s="4">
        <v>46145</v>
      </c>
      <c r="B58" s="8" t="s">
        <v>22</v>
      </c>
      <c r="C58" s="5" t="s">
        <v>1</v>
      </c>
      <c r="D58" s="5"/>
      <c r="E58" s="6">
        <v>16000</v>
      </c>
      <c r="F58" s="6"/>
    </row>
    <row r="59" spans="1:6" x14ac:dyDescent="0.3">
      <c r="A59" s="5"/>
      <c r="B59" s="8" t="s">
        <v>10</v>
      </c>
      <c r="C59" s="5"/>
      <c r="D59" s="5"/>
      <c r="E59" s="6"/>
      <c r="F59" s="6">
        <v>16000</v>
      </c>
    </row>
    <row r="60" spans="1:6" x14ac:dyDescent="0.3">
      <c r="A60" s="5"/>
      <c r="B60" s="8" t="s">
        <v>39</v>
      </c>
      <c r="C60" s="5"/>
      <c r="D60" s="5"/>
      <c r="E60" s="6"/>
      <c r="F60" s="6"/>
    </row>
    <row r="61" spans="1:6" x14ac:dyDescent="0.3">
      <c r="A61" s="4">
        <v>46147</v>
      </c>
      <c r="B61" s="8" t="s">
        <v>40</v>
      </c>
      <c r="C61" s="5" t="s">
        <v>1</v>
      </c>
      <c r="D61" s="5"/>
      <c r="E61" s="6">
        <v>30000</v>
      </c>
      <c r="F61" s="6"/>
    </row>
    <row r="62" spans="1:6" x14ac:dyDescent="0.3">
      <c r="A62" s="5"/>
      <c r="B62" s="8" t="s">
        <v>10</v>
      </c>
      <c r="C62" s="5"/>
      <c r="D62" s="5"/>
      <c r="E62" s="6"/>
      <c r="F62" s="6">
        <v>30000</v>
      </c>
    </row>
    <row r="63" spans="1:6" x14ac:dyDescent="0.3">
      <c r="A63" s="5"/>
      <c r="B63" s="8" t="s">
        <v>41</v>
      </c>
      <c r="C63" s="5"/>
      <c r="D63" s="5"/>
      <c r="E63" s="6"/>
      <c r="F63" s="6"/>
    </row>
    <row r="64" spans="1:6" x14ac:dyDescent="0.3">
      <c r="A64" s="4">
        <v>46150</v>
      </c>
      <c r="B64" s="8" t="s">
        <v>0</v>
      </c>
      <c r="C64" s="5" t="s">
        <v>1</v>
      </c>
      <c r="D64" s="5"/>
      <c r="E64" s="6">
        <v>8200</v>
      </c>
      <c r="F64" s="6"/>
    </row>
    <row r="65" spans="1:6" x14ac:dyDescent="0.3">
      <c r="A65" s="5"/>
      <c r="B65" s="8" t="s">
        <v>24</v>
      </c>
      <c r="C65" s="5"/>
      <c r="D65" s="5"/>
      <c r="E65" s="6"/>
      <c r="F65" s="6">
        <v>8200</v>
      </c>
    </row>
    <row r="66" spans="1:6" x14ac:dyDescent="0.3">
      <c r="A66" s="5"/>
      <c r="B66" s="8" t="s">
        <v>33</v>
      </c>
      <c r="C66" s="5"/>
      <c r="D66" s="5"/>
      <c r="E66" s="6"/>
      <c r="F66" s="6"/>
    </row>
    <row r="67" spans="1:6" x14ac:dyDescent="0.3">
      <c r="A67" s="4">
        <v>46152</v>
      </c>
      <c r="B67" s="8" t="s">
        <v>42</v>
      </c>
      <c r="C67" s="5" t="s">
        <v>1</v>
      </c>
      <c r="D67" s="5"/>
      <c r="E67" s="6">
        <v>1499</v>
      </c>
      <c r="F67" s="6"/>
    </row>
    <row r="68" spans="1:6" x14ac:dyDescent="0.3">
      <c r="A68" s="5"/>
      <c r="B68" s="8" t="s">
        <v>10</v>
      </c>
      <c r="C68" s="5"/>
      <c r="D68" s="5"/>
      <c r="E68" s="6"/>
      <c r="F68" s="6">
        <v>1499</v>
      </c>
    </row>
    <row r="69" spans="1:6" x14ac:dyDescent="0.3">
      <c r="A69" s="5"/>
      <c r="B69" s="8" t="s">
        <v>43</v>
      </c>
      <c r="C69" s="5"/>
      <c r="D69" s="5"/>
      <c r="E69" s="6"/>
      <c r="F69" s="6"/>
    </row>
    <row r="70" spans="1:6" x14ac:dyDescent="0.3">
      <c r="A70" s="4">
        <v>46154</v>
      </c>
      <c r="B70" s="8" t="s">
        <v>44</v>
      </c>
      <c r="C70" s="5" t="s">
        <v>1</v>
      </c>
      <c r="D70" s="5"/>
      <c r="E70" s="6">
        <v>4000</v>
      </c>
      <c r="F70" s="6"/>
    </row>
    <row r="71" spans="1:6" x14ac:dyDescent="0.3">
      <c r="A71" s="5"/>
      <c r="B71" s="8" t="s">
        <v>10</v>
      </c>
      <c r="C71" s="5"/>
      <c r="D71" s="5"/>
      <c r="E71" s="6"/>
      <c r="F71" s="6">
        <v>4000</v>
      </c>
    </row>
    <row r="72" spans="1:6" x14ac:dyDescent="0.3">
      <c r="A72" s="5"/>
      <c r="B72" s="8" t="s">
        <v>45</v>
      </c>
      <c r="C72" s="5"/>
      <c r="D72" s="5"/>
      <c r="E72" s="6"/>
      <c r="F72" s="6"/>
    </row>
    <row r="73" spans="1:6" x14ac:dyDescent="0.3">
      <c r="A73" s="4">
        <v>46157</v>
      </c>
      <c r="B73" s="8" t="s">
        <v>0</v>
      </c>
      <c r="C73" s="5" t="s">
        <v>1</v>
      </c>
      <c r="D73" s="5"/>
      <c r="E73" s="6">
        <v>9500</v>
      </c>
      <c r="F73" s="6"/>
    </row>
    <row r="74" spans="1:6" x14ac:dyDescent="0.3">
      <c r="A74" s="5"/>
      <c r="B74" s="8" t="s">
        <v>24</v>
      </c>
      <c r="C74" s="5"/>
      <c r="D74" s="5"/>
      <c r="E74" s="6"/>
      <c r="F74" s="6">
        <v>9500</v>
      </c>
    </row>
    <row r="75" spans="1:6" x14ac:dyDescent="0.3">
      <c r="A75" s="5"/>
      <c r="B75" s="8" t="s">
        <v>33</v>
      </c>
      <c r="C75" s="5"/>
      <c r="D75" s="5"/>
      <c r="E75" s="6"/>
      <c r="F75" s="6"/>
    </row>
    <row r="76" spans="1:6" x14ac:dyDescent="0.3">
      <c r="A76" s="4">
        <v>46160</v>
      </c>
      <c r="B76" s="8" t="s">
        <v>46</v>
      </c>
      <c r="C76" s="5" t="s">
        <v>1</v>
      </c>
      <c r="D76" s="5"/>
      <c r="E76" s="6">
        <v>9800</v>
      </c>
      <c r="F76" s="6"/>
    </row>
    <row r="77" spans="1:6" x14ac:dyDescent="0.3">
      <c r="A77" s="5"/>
      <c r="B77" s="8" t="s">
        <v>10</v>
      </c>
      <c r="C77" s="5"/>
      <c r="D77" s="5"/>
      <c r="E77" s="6"/>
      <c r="F77" s="6">
        <v>9800</v>
      </c>
    </row>
    <row r="78" spans="1:6" x14ac:dyDescent="0.3">
      <c r="A78" s="5"/>
      <c r="B78" s="8" t="s">
        <v>47</v>
      </c>
      <c r="C78" s="5"/>
      <c r="D78" s="5"/>
      <c r="E78" s="6"/>
      <c r="F78" s="6"/>
    </row>
    <row r="79" spans="1:6" x14ac:dyDescent="0.3">
      <c r="A79" s="4">
        <v>46162</v>
      </c>
      <c r="B79" s="8" t="s">
        <v>29</v>
      </c>
      <c r="C79" s="5" t="s">
        <v>1</v>
      </c>
      <c r="D79" s="5"/>
      <c r="E79" s="6">
        <v>2500</v>
      </c>
      <c r="F79" s="6"/>
    </row>
    <row r="80" spans="1:6" x14ac:dyDescent="0.3">
      <c r="A80" s="5"/>
      <c r="B80" s="8" t="s">
        <v>10</v>
      </c>
      <c r="C80" s="5"/>
      <c r="D80" s="5"/>
      <c r="E80" s="6"/>
      <c r="F80" s="6">
        <v>2500</v>
      </c>
    </row>
    <row r="81" spans="1:6" x14ac:dyDescent="0.3">
      <c r="A81" s="5"/>
      <c r="B81" s="8" t="s">
        <v>30</v>
      </c>
      <c r="C81" s="5"/>
      <c r="D81" s="5"/>
      <c r="E81" s="6"/>
      <c r="F81" s="6"/>
    </row>
    <row r="82" spans="1:6" x14ac:dyDescent="0.3">
      <c r="A82" s="4">
        <v>46164</v>
      </c>
      <c r="B82" s="8" t="s">
        <v>0</v>
      </c>
      <c r="C82" s="5" t="s">
        <v>1</v>
      </c>
      <c r="D82" s="5"/>
      <c r="E82" s="6">
        <v>8800</v>
      </c>
      <c r="F82" s="6"/>
    </row>
    <row r="83" spans="1:6" x14ac:dyDescent="0.3">
      <c r="A83" s="5"/>
      <c r="B83" s="8" t="s">
        <v>24</v>
      </c>
      <c r="C83" s="5"/>
      <c r="D83" s="5"/>
      <c r="E83" s="6"/>
      <c r="F83" s="6">
        <v>8800</v>
      </c>
    </row>
    <row r="84" spans="1:6" x14ac:dyDescent="0.3">
      <c r="A84" s="5"/>
      <c r="B84" s="8" t="s">
        <v>33</v>
      </c>
      <c r="C84" s="5"/>
      <c r="D84" s="5"/>
      <c r="E84" s="6"/>
      <c r="F84" s="6"/>
    </row>
    <row r="85" spans="1:6" x14ac:dyDescent="0.3">
      <c r="A85" s="4">
        <v>46167</v>
      </c>
      <c r="B85" s="8" t="s">
        <v>0</v>
      </c>
      <c r="C85" s="5" t="s">
        <v>1</v>
      </c>
      <c r="D85" s="5"/>
      <c r="E85" s="6">
        <v>10000</v>
      </c>
      <c r="F85" s="6"/>
    </row>
    <row r="86" spans="1:6" x14ac:dyDescent="0.3">
      <c r="A86" s="5"/>
      <c r="B86" s="8" t="s">
        <v>13</v>
      </c>
      <c r="C86" s="5"/>
      <c r="D86" s="5"/>
      <c r="E86" s="6"/>
      <c r="F86" s="6">
        <v>10000</v>
      </c>
    </row>
    <row r="87" spans="1:6" x14ac:dyDescent="0.3">
      <c r="A87" s="5"/>
      <c r="B87" s="8" t="s">
        <v>48</v>
      </c>
      <c r="C87" s="5"/>
      <c r="D87" s="5"/>
      <c r="E87" s="6"/>
      <c r="F87" s="6"/>
    </row>
    <row r="88" spans="1:6" x14ac:dyDescent="0.3">
      <c r="A88" s="4">
        <v>46170</v>
      </c>
      <c r="B88" s="8" t="s">
        <v>49</v>
      </c>
      <c r="C88" s="5" t="s">
        <v>1</v>
      </c>
      <c r="D88" s="5"/>
      <c r="E88" s="6">
        <v>2500</v>
      </c>
      <c r="F88" s="6"/>
    </row>
    <row r="89" spans="1:6" x14ac:dyDescent="0.3">
      <c r="A89" s="5"/>
      <c r="B89" s="8" t="s">
        <v>10</v>
      </c>
      <c r="C89" s="5"/>
      <c r="D89" s="5"/>
      <c r="E89" s="6"/>
      <c r="F89" s="6">
        <v>2500</v>
      </c>
    </row>
    <row r="90" spans="1:6" x14ac:dyDescent="0.3">
      <c r="A90" s="5"/>
      <c r="B90" s="8" t="s">
        <v>50</v>
      </c>
      <c r="C90" s="5"/>
      <c r="D90" s="5"/>
      <c r="E90" s="6"/>
      <c r="F90" s="6"/>
    </row>
    <row r="91" spans="1:6" x14ac:dyDescent="0.3">
      <c r="A91" s="4">
        <v>46172</v>
      </c>
      <c r="B91" s="8" t="s">
        <v>51</v>
      </c>
      <c r="C91" s="5" t="s">
        <v>1</v>
      </c>
      <c r="D91" s="5"/>
      <c r="E91" s="6">
        <v>3000</v>
      </c>
      <c r="F91" s="6"/>
    </row>
    <row r="92" spans="1:6" x14ac:dyDescent="0.3">
      <c r="A92" s="5"/>
      <c r="B92" s="8" t="s">
        <v>10</v>
      </c>
      <c r="C92" s="5"/>
      <c r="D92" s="5"/>
      <c r="E92" s="6"/>
      <c r="F92" s="6">
        <v>3000</v>
      </c>
    </row>
    <row r="93" spans="1:6" x14ac:dyDescent="0.3">
      <c r="A93" s="5"/>
      <c r="B93" s="8" t="s">
        <v>52</v>
      </c>
      <c r="C93" s="5"/>
      <c r="D93" s="5"/>
      <c r="E93" s="6"/>
      <c r="F93" s="6"/>
    </row>
    <row r="94" spans="1:6" x14ac:dyDescent="0.3">
      <c r="A94" s="4">
        <v>46173</v>
      </c>
      <c r="B94" s="8" t="s">
        <v>38</v>
      </c>
      <c r="C94" s="5" t="s">
        <v>1</v>
      </c>
      <c r="D94" s="5"/>
      <c r="E94" s="6">
        <v>24000</v>
      </c>
      <c r="F94" s="6"/>
    </row>
    <row r="95" spans="1:6" x14ac:dyDescent="0.3">
      <c r="A95" s="5"/>
      <c r="B95" s="8" t="s">
        <v>10</v>
      </c>
      <c r="C95" s="5"/>
      <c r="D95" s="5"/>
      <c r="E95" s="6"/>
      <c r="F95" s="6">
        <v>24000</v>
      </c>
    </row>
    <row r="96" spans="1:6" x14ac:dyDescent="0.3">
      <c r="A96" s="5"/>
      <c r="B96" s="8" t="s">
        <v>53</v>
      </c>
      <c r="C96" s="5"/>
      <c r="D96" s="5"/>
      <c r="E96" s="6"/>
      <c r="F96" s="6"/>
    </row>
    <row r="97" spans="2:6" x14ac:dyDescent="0.3">
      <c r="B97" s="9"/>
      <c r="E97" s="2"/>
      <c r="F97" s="2"/>
    </row>
    <row r="98" spans="2:6" x14ac:dyDescent="0.3">
      <c r="E98" s="2"/>
      <c r="F98" s="2"/>
    </row>
    <row r="99" spans="2:6" x14ac:dyDescent="0.3">
      <c r="E99" s="2"/>
      <c r="F99" s="2"/>
    </row>
    <row r="100" spans="2:6" x14ac:dyDescent="0.3">
      <c r="E100" s="2"/>
      <c r="F100" s="2"/>
    </row>
    <row r="101" spans="2:6" x14ac:dyDescent="0.3">
      <c r="E101" s="2"/>
      <c r="F101" s="2"/>
    </row>
    <row r="102" spans="2:6" x14ac:dyDescent="0.3">
      <c r="E102" s="2"/>
      <c r="F102" s="2"/>
    </row>
    <row r="103" spans="2:6" x14ac:dyDescent="0.3">
      <c r="E103" s="2"/>
      <c r="F103" s="2"/>
    </row>
    <row r="104" spans="2:6" x14ac:dyDescent="0.3">
      <c r="E104" s="2"/>
      <c r="F104" s="2"/>
    </row>
    <row r="105" spans="2:6" x14ac:dyDescent="0.3">
      <c r="E105" s="2"/>
      <c r="F105" s="2"/>
    </row>
    <row r="106" spans="2:6" x14ac:dyDescent="0.3">
      <c r="E106" s="2"/>
      <c r="F106" s="2"/>
    </row>
    <row r="107" spans="2:6" x14ac:dyDescent="0.3">
      <c r="E107" s="2"/>
      <c r="F107" s="2"/>
    </row>
    <row r="108" spans="2:6" x14ac:dyDescent="0.3">
      <c r="E108" s="2"/>
      <c r="F108" s="2"/>
    </row>
    <row r="109" spans="2:6" x14ac:dyDescent="0.3">
      <c r="E109" s="2"/>
      <c r="F109" s="2"/>
    </row>
    <row r="110" spans="2:6" x14ac:dyDescent="0.3">
      <c r="E110" s="2"/>
      <c r="F110" s="2"/>
    </row>
    <row r="111" spans="2:6" x14ac:dyDescent="0.3">
      <c r="E111" s="2"/>
      <c r="F111" s="2"/>
    </row>
    <row r="112" spans="2:6" x14ac:dyDescent="0.3">
      <c r="E112" s="2"/>
      <c r="F112" s="2"/>
    </row>
    <row r="113" spans="5:6" x14ac:dyDescent="0.3">
      <c r="E113" s="2"/>
      <c r="F113" s="2"/>
    </row>
    <row r="114" spans="5:6" x14ac:dyDescent="0.3">
      <c r="E114" s="2"/>
      <c r="F114" s="2"/>
    </row>
    <row r="115" spans="5:6" x14ac:dyDescent="0.3">
      <c r="E115" s="2"/>
      <c r="F115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FBF0-A2D0-4AAF-A561-BC1F1A210C71}">
  <dimension ref="A1:H326"/>
  <sheetViews>
    <sheetView topLeftCell="A81" zoomScale="94" zoomScaleNormal="130" workbookViewId="0">
      <selection activeCell="B176" sqref="B176"/>
    </sheetView>
  </sheetViews>
  <sheetFormatPr defaultRowHeight="14.4" x14ac:dyDescent="0.3"/>
  <cols>
    <col min="1" max="1" width="17.88671875" customWidth="1"/>
    <col min="2" max="2" width="31.6640625" customWidth="1"/>
    <col min="3" max="3" width="4.33203125" customWidth="1"/>
    <col min="4" max="5" width="17.88671875" customWidth="1"/>
    <col min="6" max="6" width="31.6640625" customWidth="1"/>
    <col min="7" max="7" width="4.88671875" customWidth="1"/>
    <col min="8" max="8" width="17.88671875" customWidth="1"/>
  </cols>
  <sheetData>
    <row r="1" spans="1:8" ht="20.399999999999999" x14ac:dyDescent="0.35">
      <c r="A1" s="35" t="s">
        <v>65</v>
      </c>
      <c r="B1" s="35"/>
      <c r="C1" s="35"/>
      <c r="D1" s="35"/>
      <c r="E1" s="35"/>
      <c r="F1" s="35"/>
      <c r="G1" s="35"/>
      <c r="H1" s="35"/>
    </row>
    <row r="3" spans="1:8" ht="20.399999999999999" x14ac:dyDescent="0.35">
      <c r="A3" s="10" t="s">
        <v>59</v>
      </c>
      <c r="C3" s="35" t="s">
        <v>57</v>
      </c>
      <c r="D3" s="35"/>
      <c r="E3" s="35"/>
      <c r="F3" s="35"/>
      <c r="H3" s="11" t="s">
        <v>58</v>
      </c>
    </row>
    <row r="4" spans="1:8" ht="17.399999999999999" x14ac:dyDescent="0.3">
      <c r="A4" s="12" t="s">
        <v>2</v>
      </c>
      <c r="B4" s="12" t="s">
        <v>3</v>
      </c>
      <c r="C4" s="12" t="s">
        <v>55</v>
      </c>
      <c r="D4" s="13" t="s">
        <v>56</v>
      </c>
      <c r="E4" s="12" t="s">
        <v>2</v>
      </c>
      <c r="F4" s="12" t="s">
        <v>3</v>
      </c>
      <c r="G4" s="12" t="s">
        <v>55</v>
      </c>
      <c r="H4" s="12" t="s">
        <v>56</v>
      </c>
    </row>
    <row r="5" spans="1:8" x14ac:dyDescent="0.3">
      <c r="A5" s="4">
        <v>46142</v>
      </c>
      <c r="B5" s="5" t="s">
        <v>61</v>
      </c>
      <c r="C5" s="5"/>
      <c r="D5" s="6">
        <v>800000</v>
      </c>
      <c r="E5" s="4">
        <v>46113</v>
      </c>
      <c r="F5" s="5" t="s">
        <v>60</v>
      </c>
      <c r="G5" s="5"/>
      <c r="H5" s="6">
        <v>800000</v>
      </c>
    </row>
    <row r="6" spans="1:8" x14ac:dyDescent="0.3">
      <c r="A6" s="5"/>
      <c r="B6" s="5"/>
      <c r="C6" s="5"/>
      <c r="D6" s="14">
        <v>800000</v>
      </c>
      <c r="E6" s="15"/>
      <c r="F6" s="15"/>
      <c r="G6" s="15"/>
      <c r="H6" s="14">
        <v>800000</v>
      </c>
    </row>
    <row r="7" spans="1:8" x14ac:dyDescent="0.3">
      <c r="A7" s="5"/>
      <c r="B7" s="5"/>
      <c r="C7" s="5"/>
      <c r="D7" s="6"/>
      <c r="E7" s="4">
        <v>46174</v>
      </c>
      <c r="F7" s="5" t="s">
        <v>91</v>
      </c>
      <c r="G7" s="5"/>
      <c r="H7" s="14">
        <v>800000</v>
      </c>
    </row>
    <row r="8" spans="1:8" x14ac:dyDescent="0.3">
      <c r="D8" s="2"/>
      <c r="H8" s="2"/>
    </row>
    <row r="9" spans="1:8" x14ac:dyDescent="0.3">
      <c r="D9" s="2"/>
      <c r="H9" s="2"/>
    </row>
    <row r="10" spans="1:8" ht="20.399999999999999" x14ac:dyDescent="0.35">
      <c r="A10" s="10" t="s">
        <v>59</v>
      </c>
      <c r="C10" s="35" t="s">
        <v>64</v>
      </c>
      <c r="D10" s="35"/>
      <c r="E10" s="35"/>
      <c r="F10" s="35"/>
      <c r="H10" s="11" t="s">
        <v>58</v>
      </c>
    </row>
    <row r="11" spans="1:8" ht="17.399999999999999" x14ac:dyDescent="0.3">
      <c r="A11" s="12" t="s">
        <v>2</v>
      </c>
      <c r="B11" s="12" t="s">
        <v>3</v>
      </c>
      <c r="C11" s="12" t="s">
        <v>55</v>
      </c>
      <c r="D11" s="13" t="s">
        <v>56</v>
      </c>
      <c r="E11" s="12" t="s">
        <v>2</v>
      </c>
      <c r="F11" s="12" t="s">
        <v>3</v>
      </c>
      <c r="G11" s="12" t="s">
        <v>55</v>
      </c>
      <c r="H11" s="12" t="s">
        <v>56</v>
      </c>
    </row>
    <row r="12" spans="1:8" x14ac:dyDescent="0.3">
      <c r="A12" s="4">
        <v>46113</v>
      </c>
      <c r="B12" s="5" t="s">
        <v>66</v>
      </c>
      <c r="C12" s="5"/>
      <c r="D12" s="6">
        <v>800000</v>
      </c>
      <c r="E12" s="4">
        <v>46114</v>
      </c>
      <c r="F12" s="5" t="s">
        <v>67</v>
      </c>
      <c r="G12" s="5"/>
      <c r="H12" s="6">
        <v>450000</v>
      </c>
    </row>
    <row r="13" spans="1:8" x14ac:dyDescent="0.3">
      <c r="A13" s="4">
        <v>46122</v>
      </c>
      <c r="B13" s="5" t="s">
        <v>71</v>
      </c>
      <c r="C13" s="5"/>
      <c r="D13" s="6">
        <v>4800</v>
      </c>
      <c r="E13" s="4">
        <v>46116</v>
      </c>
      <c r="F13" s="5" t="s">
        <v>68</v>
      </c>
      <c r="G13" s="5"/>
      <c r="H13" s="6">
        <v>75000</v>
      </c>
    </row>
    <row r="14" spans="1:8" x14ac:dyDescent="0.3">
      <c r="A14" s="4">
        <v>46127</v>
      </c>
      <c r="B14" s="5" t="s">
        <v>71</v>
      </c>
      <c r="C14" s="5"/>
      <c r="D14" s="16">
        <v>5500</v>
      </c>
      <c r="E14" s="4">
        <v>46118</v>
      </c>
      <c r="F14" s="5" t="s">
        <v>69</v>
      </c>
      <c r="G14" s="5"/>
      <c r="H14" s="16">
        <v>2500</v>
      </c>
    </row>
    <row r="15" spans="1:8" x14ac:dyDescent="0.3">
      <c r="A15" s="4">
        <v>46134</v>
      </c>
      <c r="B15" s="5" t="s">
        <v>71</v>
      </c>
      <c r="C15" s="5"/>
      <c r="D15" s="6">
        <v>6300</v>
      </c>
      <c r="E15" s="4">
        <v>46120</v>
      </c>
      <c r="F15" s="5" t="s">
        <v>70</v>
      </c>
      <c r="G15" s="5"/>
      <c r="H15" s="16">
        <v>15000</v>
      </c>
    </row>
    <row r="16" spans="1:8" x14ac:dyDescent="0.3">
      <c r="A16" s="4">
        <v>46140</v>
      </c>
      <c r="B16" s="5" t="s">
        <v>71</v>
      </c>
      <c r="C16" s="5"/>
      <c r="D16" s="6">
        <v>7100</v>
      </c>
      <c r="E16" s="4">
        <v>46124</v>
      </c>
      <c r="F16" s="5" t="s">
        <v>72</v>
      </c>
      <c r="G16" s="5"/>
      <c r="H16" s="6">
        <v>3000</v>
      </c>
    </row>
    <row r="17" spans="1:8" x14ac:dyDescent="0.3">
      <c r="A17" s="4">
        <v>46150</v>
      </c>
      <c r="B17" s="5" t="s">
        <v>71</v>
      </c>
      <c r="C17" s="5"/>
      <c r="D17" s="6">
        <v>8200</v>
      </c>
      <c r="E17" s="4">
        <v>46130</v>
      </c>
      <c r="F17" s="5" t="s">
        <v>73</v>
      </c>
      <c r="G17" s="5"/>
      <c r="H17" s="6">
        <v>2200</v>
      </c>
    </row>
    <row r="18" spans="1:8" x14ac:dyDescent="0.3">
      <c r="A18" s="4">
        <v>46157</v>
      </c>
      <c r="B18" s="5" t="s">
        <v>71</v>
      </c>
      <c r="C18" s="5"/>
      <c r="D18" s="6">
        <v>9500</v>
      </c>
      <c r="E18" s="4">
        <v>46137</v>
      </c>
      <c r="F18" s="5" t="s">
        <v>74</v>
      </c>
      <c r="G18" s="5"/>
      <c r="H18" s="6">
        <v>8000</v>
      </c>
    </row>
    <row r="19" spans="1:8" x14ac:dyDescent="0.3">
      <c r="A19" s="4">
        <v>46164</v>
      </c>
      <c r="B19" s="5" t="s">
        <v>71</v>
      </c>
      <c r="C19" s="5"/>
      <c r="D19" s="6">
        <v>8800</v>
      </c>
      <c r="E19" s="4">
        <v>46138</v>
      </c>
      <c r="F19" s="5" t="s">
        <v>75</v>
      </c>
      <c r="G19" s="5"/>
      <c r="H19" s="6">
        <v>800</v>
      </c>
    </row>
    <row r="20" spans="1:8" x14ac:dyDescent="0.3">
      <c r="A20" s="4">
        <v>46167</v>
      </c>
      <c r="B20" s="5" t="s">
        <v>81</v>
      </c>
      <c r="C20" s="5"/>
      <c r="D20" s="6">
        <v>10000</v>
      </c>
      <c r="E20" s="4">
        <v>46142</v>
      </c>
      <c r="F20" s="5" t="s">
        <v>76</v>
      </c>
      <c r="G20" s="5"/>
      <c r="H20" s="6">
        <v>24000</v>
      </c>
    </row>
    <row r="21" spans="1:8" x14ac:dyDescent="0.3">
      <c r="A21" s="5"/>
      <c r="B21" s="5"/>
      <c r="C21" s="5"/>
      <c r="D21" s="6"/>
      <c r="E21" s="4">
        <v>46145</v>
      </c>
      <c r="F21" s="5" t="s">
        <v>70</v>
      </c>
      <c r="G21" s="5"/>
      <c r="H21" s="6">
        <v>16000</v>
      </c>
    </row>
    <row r="22" spans="1:8" x14ac:dyDescent="0.3">
      <c r="A22" s="5"/>
      <c r="B22" s="5"/>
      <c r="C22" s="5"/>
      <c r="D22" s="6"/>
      <c r="E22" s="4">
        <v>46147</v>
      </c>
      <c r="F22" s="5" t="s">
        <v>77</v>
      </c>
      <c r="G22" s="5"/>
      <c r="H22" s="6">
        <v>30000</v>
      </c>
    </row>
    <row r="23" spans="1:8" x14ac:dyDescent="0.3">
      <c r="A23" s="5"/>
      <c r="B23" s="5"/>
      <c r="C23" s="5"/>
      <c r="D23" s="6"/>
      <c r="E23" s="4">
        <v>46152</v>
      </c>
      <c r="F23" s="5" t="s">
        <v>78</v>
      </c>
      <c r="G23" s="5"/>
      <c r="H23" s="6">
        <v>1499</v>
      </c>
    </row>
    <row r="24" spans="1:8" x14ac:dyDescent="0.3">
      <c r="A24" s="5"/>
      <c r="B24" s="5"/>
      <c r="C24" s="5"/>
      <c r="D24" s="6"/>
      <c r="E24" s="4">
        <v>46154</v>
      </c>
      <c r="F24" s="5" t="s">
        <v>79</v>
      </c>
      <c r="G24" s="5"/>
      <c r="H24" s="6">
        <v>4000</v>
      </c>
    </row>
    <row r="25" spans="1:8" x14ac:dyDescent="0.3">
      <c r="A25" s="5"/>
      <c r="B25" s="5"/>
      <c r="C25" s="5"/>
      <c r="D25" s="6"/>
      <c r="E25" s="4">
        <v>46160</v>
      </c>
      <c r="F25" s="5" t="s">
        <v>80</v>
      </c>
      <c r="G25" s="5"/>
      <c r="H25" s="6">
        <v>9800</v>
      </c>
    </row>
    <row r="26" spans="1:8" x14ac:dyDescent="0.3">
      <c r="A26" s="5"/>
      <c r="B26" s="5"/>
      <c r="C26" s="5"/>
      <c r="D26" s="6"/>
      <c r="E26" s="4">
        <v>46162</v>
      </c>
      <c r="F26" s="5" t="s">
        <v>73</v>
      </c>
      <c r="G26" s="5"/>
      <c r="H26" s="6">
        <v>2500</v>
      </c>
    </row>
    <row r="27" spans="1:8" x14ac:dyDescent="0.3">
      <c r="A27" s="5"/>
      <c r="B27" s="5"/>
      <c r="C27" s="5"/>
      <c r="D27" s="6"/>
      <c r="E27" s="4">
        <v>46170</v>
      </c>
      <c r="F27" s="5" t="s">
        <v>82</v>
      </c>
      <c r="G27" s="5"/>
      <c r="H27" s="6">
        <v>2500</v>
      </c>
    </row>
    <row r="28" spans="1:8" x14ac:dyDescent="0.3">
      <c r="A28" s="5"/>
      <c r="B28" s="5"/>
      <c r="C28" s="5"/>
      <c r="D28" s="6"/>
      <c r="E28" s="4">
        <v>46172</v>
      </c>
      <c r="F28" s="5" t="s">
        <v>83</v>
      </c>
      <c r="G28" s="5"/>
      <c r="H28" s="6">
        <v>3000</v>
      </c>
    </row>
    <row r="29" spans="1:8" x14ac:dyDescent="0.3">
      <c r="A29" s="5"/>
      <c r="B29" s="5"/>
      <c r="C29" s="5"/>
      <c r="D29" s="6"/>
      <c r="E29" s="4">
        <v>46173</v>
      </c>
      <c r="F29" s="5" t="s">
        <v>76</v>
      </c>
      <c r="G29" s="5"/>
      <c r="H29" s="6">
        <v>24000</v>
      </c>
    </row>
    <row r="30" spans="1:8" x14ac:dyDescent="0.3">
      <c r="A30" s="5"/>
      <c r="B30" s="5"/>
      <c r="C30" s="5"/>
      <c r="D30" s="5"/>
      <c r="E30" s="4">
        <v>46173</v>
      </c>
      <c r="F30" s="5" t="s">
        <v>63</v>
      </c>
      <c r="G30" s="5"/>
      <c r="H30" s="17">
        <v>186401</v>
      </c>
    </row>
    <row r="31" spans="1:8" x14ac:dyDescent="0.3">
      <c r="A31" s="5"/>
      <c r="B31" s="5"/>
      <c r="C31" s="5"/>
      <c r="D31" s="14">
        <f>SUM(D12:D20)</f>
        <v>860200</v>
      </c>
      <c r="E31" s="15"/>
      <c r="F31" s="15"/>
      <c r="G31" s="15"/>
      <c r="H31" s="14">
        <v>860200</v>
      </c>
    </row>
    <row r="32" spans="1:8" x14ac:dyDescent="0.3">
      <c r="A32" s="4">
        <v>46174</v>
      </c>
      <c r="B32" s="5" t="s">
        <v>86</v>
      </c>
      <c r="C32" s="5"/>
      <c r="D32" s="14">
        <v>186401</v>
      </c>
      <c r="E32" s="5"/>
      <c r="F32" s="5"/>
      <c r="G32" s="5"/>
      <c r="H32" s="6"/>
    </row>
    <row r="33" spans="1:8" x14ac:dyDescent="0.3">
      <c r="D33" s="2"/>
      <c r="H33" s="2"/>
    </row>
    <row r="34" spans="1:8" x14ac:dyDescent="0.3">
      <c r="D34" s="2"/>
      <c r="H34" s="2"/>
    </row>
    <row r="35" spans="1:8" ht="20.399999999999999" x14ac:dyDescent="0.35">
      <c r="A35" s="10" t="s">
        <v>59</v>
      </c>
      <c r="C35" s="35" t="s">
        <v>84</v>
      </c>
      <c r="D35" s="35"/>
      <c r="E35" s="35"/>
      <c r="F35" s="35"/>
      <c r="H35" s="11" t="s">
        <v>58</v>
      </c>
    </row>
    <row r="36" spans="1:8" ht="17.399999999999999" x14ac:dyDescent="0.3">
      <c r="A36" s="12" t="s">
        <v>2</v>
      </c>
      <c r="B36" s="12" t="s">
        <v>3</v>
      </c>
      <c r="C36" s="12" t="s">
        <v>55</v>
      </c>
      <c r="D36" s="13" t="s">
        <v>56</v>
      </c>
      <c r="E36" s="12" t="s">
        <v>2</v>
      </c>
      <c r="F36" s="12" t="s">
        <v>3</v>
      </c>
      <c r="G36" s="12" t="s">
        <v>55</v>
      </c>
      <c r="H36" s="12" t="s">
        <v>56</v>
      </c>
    </row>
    <row r="37" spans="1:8" x14ac:dyDescent="0.3">
      <c r="A37" s="4">
        <v>46114</v>
      </c>
      <c r="B37" s="5" t="s">
        <v>85</v>
      </c>
      <c r="C37" s="5"/>
      <c r="D37" s="6">
        <v>450000</v>
      </c>
      <c r="E37" s="4">
        <v>46115</v>
      </c>
      <c r="F37" s="5" t="s">
        <v>87</v>
      </c>
      <c r="G37" s="5"/>
      <c r="H37" s="6">
        <v>30000</v>
      </c>
    </row>
    <row r="38" spans="1:8" x14ac:dyDescent="0.3">
      <c r="A38" s="4"/>
      <c r="B38" s="5"/>
      <c r="C38" s="5"/>
      <c r="D38" s="6"/>
      <c r="E38" s="4">
        <v>46143</v>
      </c>
      <c r="F38" s="5" t="s">
        <v>87</v>
      </c>
      <c r="G38" s="5"/>
      <c r="H38" s="6">
        <v>30000</v>
      </c>
    </row>
    <row r="39" spans="1:8" x14ac:dyDescent="0.3">
      <c r="A39" s="4"/>
      <c r="B39" s="5"/>
      <c r="C39" s="5"/>
      <c r="D39" s="6"/>
      <c r="E39" s="4">
        <v>46157</v>
      </c>
      <c r="F39" s="5" t="s">
        <v>88</v>
      </c>
      <c r="G39" s="5" t="s">
        <v>27</v>
      </c>
      <c r="H39" s="6">
        <v>10000</v>
      </c>
    </row>
    <row r="40" spans="1:8" x14ac:dyDescent="0.3">
      <c r="A40" s="4"/>
      <c r="B40" s="5" t="s">
        <v>27</v>
      </c>
      <c r="C40" s="5"/>
      <c r="D40" s="5"/>
      <c r="E40" s="4">
        <v>46173</v>
      </c>
      <c r="F40" s="5" t="s">
        <v>63</v>
      </c>
      <c r="G40" s="5"/>
      <c r="H40" s="17">
        <v>380000</v>
      </c>
    </row>
    <row r="41" spans="1:8" x14ac:dyDescent="0.3">
      <c r="A41" s="5"/>
      <c r="B41" s="5"/>
      <c r="C41" s="5"/>
      <c r="D41" s="14">
        <v>450000</v>
      </c>
      <c r="E41" s="15"/>
      <c r="F41" s="15"/>
      <c r="G41" s="15"/>
      <c r="H41" s="14">
        <v>450000</v>
      </c>
    </row>
    <row r="42" spans="1:8" x14ac:dyDescent="0.3">
      <c r="A42" s="4">
        <v>46174</v>
      </c>
      <c r="B42" s="5" t="s">
        <v>86</v>
      </c>
      <c r="C42" s="5"/>
      <c r="D42" s="14">
        <v>380000</v>
      </c>
      <c r="E42" s="5"/>
      <c r="F42" s="5"/>
      <c r="G42" s="5"/>
      <c r="H42" s="6"/>
    </row>
    <row r="43" spans="1:8" x14ac:dyDescent="0.3">
      <c r="D43" s="2"/>
      <c r="H43" s="2"/>
    </row>
    <row r="44" spans="1:8" x14ac:dyDescent="0.3">
      <c r="D44" s="2"/>
      <c r="H44" s="2"/>
    </row>
    <row r="45" spans="1:8" ht="20.399999999999999" x14ac:dyDescent="0.35">
      <c r="A45" s="10" t="s">
        <v>59</v>
      </c>
      <c r="C45" s="35" t="s">
        <v>89</v>
      </c>
      <c r="D45" s="35"/>
      <c r="E45" s="35"/>
      <c r="F45" s="35"/>
      <c r="H45" s="11" t="s">
        <v>58</v>
      </c>
    </row>
    <row r="46" spans="1:8" ht="17.399999999999999" x14ac:dyDescent="0.3">
      <c r="A46" s="12" t="s">
        <v>2</v>
      </c>
      <c r="B46" s="12" t="s">
        <v>3</v>
      </c>
      <c r="C46" s="12" t="s">
        <v>55</v>
      </c>
      <c r="D46" s="13" t="s">
        <v>56</v>
      </c>
      <c r="E46" s="12" t="s">
        <v>2</v>
      </c>
      <c r="F46" s="12" t="s">
        <v>3</v>
      </c>
      <c r="G46" s="12" t="s">
        <v>55</v>
      </c>
      <c r="H46" s="12" t="s">
        <v>56</v>
      </c>
    </row>
    <row r="47" spans="1:8" x14ac:dyDescent="0.3">
      <c r="A47" s="4">
        <v>46114</v>
      </c>
      <c r="B47" s="5" t="s">
        <v>81</v>
      </c>
      <c r="C47" s="5"/>
      <c r="D47" s="6">
        <v>30000</v>
      </c>
      <c r="E47" s="4">
        <v>46173</v>
      </c>
      <c r="F47" s="5" t="s">
        <v>63</v>
      </c>
      <c r="G47" s="5"/>
      <c r="H47" s="6">
        <v>60000</v>
      </c>
    </row>
    <row r="48" spans="1:8" x14ac:dyDescent="0.3">
      <c r="A48" s="4">
        <v>46143</v>
      </c>
      <c r="B48" s="5" t="s">
        <v>81</v>
      </c>
      <c r="C48" s="5"/>
      <c r="D48" s="6">
        <v>30000</v>
      </c>
      <c r="E48" s="4"/>
      <c r="F48" s="5"/>
      <c r="G48" s="5"/>
      <c r="H48" s="6"/>
    </row>
    <row r="49" spans="1:8" x14ac:dyDescent="0.3">
      <c r="A49" s="18"/>
      <c r="B49" s="19"/>
      <c r="C49" s="19"/>
      <c r="D49" s="24">
        <v>60000</v>
      </c>
      <c r="E49" s="25"/>
      <c r="F49" s="26"/>
      <c r="G49" s="26"/>
      <c r="H49" s="24">
        <v>60000</v>
      </c>
    </row>
    <row r="50" spans="1:8" x14ac:dyDescent="0.3">
      <c r="A50" s="4">
        <v>46174</v>
      </c>
      <c r="B50" s="5" t="s">
        <v>86</v>
      </c>
      <c r="C50" s="5"/>
      <c r="D50" s="14">
        <v>60000</v>
      </c>
      <c r="E50" s="27"/>
      <c r="F50" s="15"/>
      <c r="G50" s="15"/>
      <c r="H50" s="28"/>
    </row>
    <row r="51" spans="1:8" x14ac:dyDescent="0.3">
      <c r="D51" s="20"/>
      <c r="E51" s="21"/>
      <c r="F51" s="21"/>
      <c r="G51" s="21"/>
      <c r="H51" s="20"/>
    </row>
    <row r="52" spans="1:8" x14ac:dyDescent="0.3">
      <c r="A52" s="22"/>
      <c r="D52" s="20"/>
      <c r="H52" s="23"/>
    </row>
    <row r="53" spans="1:8" ht="20.399999999999999" x14ac:dyDescent="0.35">
      <c r="A53" s="10" t="s">
        <v>59</v>
      </c>
      <c r="C53" s="35" t="s">
        <v>90</v>
      </c>
      <c r="D53" s="35"/>
      <c r="E53" s="35"/>
      <c r="F53" s="35"/>
      <c r="H53" s="11" t="s">
        <v>58</v>
      </c>
    </row>
    <row r="54" spans="1:8" ht="17.399999999999999" x14ac:dyDescent="0.3">
      <c r="A54" s="12" t="s">
        <v>2</v>
      </c>
      <c r="B54" s="12" t="s">
        <v>3</v>
      </c>
      <c r="C54" s="12" t="s">
        <v>55</v>
      </c>
      <c r="D54" s="13" t="s">
        <v>56</v>
      </c>
      <c r="E54" s="12" t="s">
        <v>2</v>
      </c>
      <c r="F54" s="12" t="s">
        <v>3</v>
      </c>
      <c r="G54" s="12" t="s">
        <v>55</v>
      </c>
      <c r="H54" s="12" t="s">
        <v>56</v>
      </c>
    </row>
    <row r="55" spans="1:8" x14ac:dyDescent="0.3">
      <c r="A55" s="4">
        <v>46116</v>
      </c>
      <c r="B55" s="5" t="s">
        <v>85</v>
      </c>
      <c r="C55" s="5"/>
      <c r="D55" s="6">
        <v>75000</v>
      </c>
      <c r="E55" s="4">
        <v>46173</v>
      </c>
      <c r="F55" s="5" t="s">
        <v>63</v>
      </c>
      <c r="G55" s="5"/>
      <c r="H55" s="6">
        <v>75000</v>
      </c>
    </row>
    <row r="56" spans="1:8" x14ac:dyDescent="0.3">
      <c r="A56" s="18"/>
      <c r="B56" s="19"/>
      <c r="C56" s="19"/>
      <c r="D56" s="14">
        <v>75000</v>
      </c>
      <c r="E56" s="25"/>
      <c r="F56" s="26"/>
      <c r="G56" s="26"/>
      <c r="H56" s="14">
        <v>75000</v>
      </c>
    </row>
    <row r="57" spans="1:8" x14ac:dyDescent="0.3">
      <c r="A57" s="4">
        <v>46174</v>
      </c>
      <c r="B57" s="5" t="s">
        <v>86</v>
      </c>
      <c r="C57" s="5"/>
      <c r="D57" s="14">
        <v>75000</v>
      </c>
      <c r="E57" s="27"/>
      <c r="F57" s="15"/>
      <c r="G57" s="15"/>
      <c r="H57" s="28"/>
    </row>
    <row r="58" spans="1:8" x14ac:dyDescent="0.3">
      <c r="D58" s="2"/>
      <c r="H58" s="2"/>
    </row>
    <row r="59" spans="1:8" x14ac:dyDescent="0.3">
      <c r="D59" s="2"/>
      <c r="H59" s="2"/>
    </row>
    <row r="60" spans="1:8" ht="20.399999999999999" x14ac:dyDescent="0.35">
      <c r="A60" s="10" t="s">
        <v>59</v>
      </c>
      <c r="C60" s="35" t="s">
        <v>92</v>
      </c>
      <c r="D60" s="35"/>
      <c r="E60" s="35"/>
      <c r="F60" s="35"/>
      <c r="H60" s="11" t="s">
        <v>58</v>
      </c>
    </row>
    <row r="61" spans="1:8" ht="17.399999999999999" x14ac:dyDescent="0.3">
      <c r="A61" s="12" t="s">
        <v>2</v>
      </c>
      <c r="B61" s="12" t="s">
        <v>3</v>
      </c>
      <c r="C61" s="12" t="s">
        <v>55</v>
      </c>
      <c r="D61" s="13" t="s">
        <v>56</v>
      </c>
      <c r="E61" s="12" t="s">
        <v>2</v>
      </c>
      <c r="F61" s="12" t="s">
        <v>3</v>
      </c>
      <c r="G61" s="12" t="s">
        <v>55</v>
      </c>
      <c r="H61" s="12" t="s">
        <v>56</v>
      </c>
    </row>
    <row r="62" spans="1:8" x14ac:dyDescent="0.3">
      <c r="A62" s="4">
        <v>46117</v>
      </c>
      <c r="B62" s="5" t="s">
        <v>93</v>
      </c>
      <c r="C62" s="5"/>
      <c r="D62" s="6">
        <v>55000</v>
      </c>
      <c r="E62" s="4">
        <v>46173</v>
      </c>
      <c r="F62" s="5" t="s">
        <v>63</v>
      </c>
      <c r="G62" s="5"/>
      <c r="H62" s="6">
        <v>55000</v>
      </c>
    </row>
    <row r="63" spans="1:8" x14ac:dyDescent="0.3">
      <c r="A63" s="18"/>
      <c r="B63" s="19"/>
      <c r="C63" s="19"/>
      <c r="D63" s="14">
        <v>55000</v>
      </c>
      <c r="E63" s="25"/>
      <c r="F63" s="26"/>
      <c r="G63" s="26"/>
      <c r="H63" s="14">
        <v>55000</v>
      </c>
    </row>
    <row r="64" spans="1:8" x14ac:dyDescent="0.3">
      <c r="A64" s="4">
        <v>46174</v>
      </c>
      <c r="B64" s="5" t="s">
        <v>86</v>
      </c>
      <c r="C64" s="5"/>
      <c r="D64" s="14">
        <v>55000</v>
      </c>
      <c r="E64" s="27"/>
      <c r="F64" s="15"/>
      <c r="G64" s="15"/>
      <c r="H64" s="28"/>
    </row>
    <row r="65" spans="1:8" x14ac:dyDescent="0.3">
      <c r="D65" s="2"/>
      <c r="H65" s="2"/>
    </row>
    <row r="66" spans="1:8" x14ac:dyDescent="0.3">
      <c r="D66" s="2"/>
      <c r="H66" s="2"/>
    </row>
    <row r="67" spans="1:8" ht="20.399999999999999" x14ac:dyDescent="0.35">
      <c r="A67" s="10" t="s">
        <v>59</v>
      </c>
      <c r="C67" s="35" t="s">
        <v>94</v>
      </c>
      <c r="D67" s="35"/>
      <c r="E67" s="35"/>
      <c r="F67" s="35"/>
      <c r="H67" s="11" t="s">
        <v>58</v>
      </c>
    </row>
    <row r="68" spans="1:8" ht="17.399999999999999" x14ac:dyDescent="0.3">
      <c r="A68" s="12" t="s">
        <v>2</v>
      </c>
      <c r="B68" s="12" t="s">
        <v>3</v>
      </c>
      <c r="C68" s="12" t="s">
        <v>55</v>
      </c>
      <c r="D68" s="13" t="s">
        <v>56</v>
      </c>
      <c r="E68" s="12" t="s">
        <v>2</v>
      </c>
      <c r="F68" s="12" t="s">
        <v>3</v>
      </c>
      <c r="G68" s="12" t="s">
        <v>55</v>
      </c>
      <c r="H68" s="12" t="s">
        <v>56</v>
      </c>
    </row>
    <row r="69" spans="1:8" x14ac:dyDescent="0.3">
      <c r="A69" s="4">
        <v>46147</v>
      </c>
      <c r="B69" s="5" t="s">
        <v>96</v>
      </c>
      <c r="C69" s="5"/>
      <c r="D69" s="6">
        <v>30000</v>
      </c>
      <c r="E69" s="4">
        <v>46117</v>
      </c>
      <c r="F69" s="5" t="s">
        <v>95</v>
      </c>
      <c r="G69" s="5"/>
      <c r="H69" s="6">
        <v>55000</v>
      </c>
    </row>
    <row r="70" spans="1:8" x14ac:dyDescent="0.3">
      <c r="A70" s="4">
        <v>46173</v>
      </c>
      <c r="B70" s="5" t="s">
        <v>61</v>
      </c>
      <c r="C70" s="5"/>
      <c r="D70" s="6">
        <v>25000</v>
      </c>
      <c r="E70" s="4"/>
      <c r="F70" s="5"/>
      <c r="G70" s="5"/>
      <c r="H70" s="6"/>
    </row>
    <row r="71" spans="1:8" x14ac:dyDescent="0.3">
      <c r="A71" s="18"/>
      <c r="B71" s="19"/>
      <c r="C71" s="19"/>
      <c r="D71" s="14">
        <v>55000</v>
      </c>
      <c r="E71" s="25"/>
      <c r="F71" s="26"/>
      <c r="G71" s="26"/>
      <c r="H71" s="14">
        <v>55000</v>
      </c>
    </row>
    <row r="72" spans="1:8" x14ac:dyDescent="0.3">
      <c r="A72" s="4"/>
      <c r="B72" s="5"/>
      <c r="C72" s="5"/>
      <c r="D72" s="14"/>
      <c r="E72" s="4">
        <v>46174</v>
      </c>
      <c r="F72" s="5" t="s">
        <v>91</v>
      </c>
      <c r="G72" s="15"/>
      <c r="H72" s="28">
        <v>25000</v>
      </c>
    </row>
    <row r="73" spans="1:8" x14ac:dyDescent="0.3">
      <c r="D73" s="2"/>
      <c r="H73" s="2"/>
    </row>
    <row r="74" spans="1:8" x14ac:dyDescent="0.3">
      <c r="D74" s="2"/>
      <c r="H74" s="2"/>
    </row>
    <row r="75" spans="1:8" ht="20.399999999999999" x14ac:dyDescent="0.35">
      <c r="A75" s="10" t="s">
        <v>59</v>
      </c>
      <c r="C75" s="35" t="s">
        <v>97</v>
      </c>
      <c r="D75" s="35"/>
      <c r="E75" s="35"/>
      <c r="F75" s="35"/>
      <c r="H75" s="11" t="s">
        <v>58</v>
      </c>
    </row>
    <row r="76" spans="1:8" ht="17.399999999999999" x14ac:dyDescent="0.3">
      <c r="A76" s="12" t="s">
        <v>2</v>
      </c>
      <c r="B76" s="12" t="s">
        <v>3</v>
      </c>
      <c r="C76" s="12" t="s">
        <v>55</v>
      </c>
      <c r="D76" s="13" t="s">
        <v>56</v>
      </c>
      <c r="E76" s="12" t="s">
        <v>2</v>
      </c>
      <c r="F76" s="12" t="s">
        <v>3</v>
      </c>
      <c r="G76" s="12" t="s">
        <v>55</v>
      </c>
      <c r="H76" s="12" t="s">
        <v>56</v>
      </c>
    </row>
    <row r="77" spans="1:8" x14ac:dyDescent="0.3">
      <c r="A77" s="4">
        <v>46118</v>
      </c>
      <c r="B77" s="5" t="s">
        <v>98</v>
      </c>
      <c r="C77" s="5"/>
      <c r="D77" s="16">
        <v>2500</v>
      </c>
      <c r="E77" s="4">
        <v>46173</v>
      </c>
      <c r="F77" s="5" t="s">
        <v>63</v>
      </c>
      <c r="G77" s="5"/>
      <c r="H77" s="16">
        <v>2500</v>
      </c>
    </row>
    <row r="78" spans="1:8" x14ac:dyDescent="0.3">
      <c r="A78" s="18"/>
      <c r="B78" s="19"/>
      <c r="C78" s="19"/>
      <c r="D78" s="14">
        <v>2500</v>
      </c>
      <c r="E78" s="25"/>
      <c r="F78" s="26"/>
      <c r="G78" s="26"/>
      <c r="H78" s="14">
        <v>2500</v>
      </c>
    </row>
    <row r="79" spans="1:8" x14ac:dyDescent="0.3">
      <c r="A79" s="4">
        <v>46174</v>
      </c>
      <c r="B79" s="5" t="s">
        <v>86</v>
      </c>
      <c r="C79" s="5"/>
      <c r="D79" s="14">
        <v>2500</v>
      </c>
      <c r="E79" s="27"/>
      <c r="F79" s="15"/>
      <c r="G79" s="15"/>
      <c r="H79" s="28"/>
    </row>
    <row r="80" spans="1:8" x14ac:dyDescent="0.3">
      <c r="D80" s="2"/>
      <c r="H80" s="2"/>
    </row>
    <row r="81" spans="1:8" x14ac:dyDescent="0.3">
      <c r="D81" s="2"/>
      <c r="H81" s="2"/>
    </row>
    <row r="82" spans="1:8" ht="20.399999999999999" x14ac:dyDescent="0.35">
      <c r="A82" s="10" t="s">
        <v>59</v>
      </c>
      <c r="C82" s="35" t="s">
        <v>99</v>
      </c>
      <c r="D82" s="35"/>
      <c r="E82" s="35"/>
      <c r="F82" s="35"/>
      <c r="H82" s="11" t="s">
        <v>58</v>
      </c>
    </row>
    <row r="83" spans="1:8" ht="17.399999999999999" x14ac:dyDescent="0.3">
      <c r="A83" s="12" t="s">
        <v>2</v>
      </c>
      <c r="B83" s="12" t="s">
        <v>3</v>
      </c>
      <c r="C83" s="12" t="s">
        <v>55</v>
      </c>
      <c r="D83" s="13" t="s">
        <v>56</v>
      </c>
      <c r="E83" s="12" t="s">
        <v>2</v>
      </c>
      <c r="F83" s="12" t="s">
        <v>3</v>
      </c>
      <c r="G83" s="12" t="s">
        <v>55</v>
      </c>
      <c r="H83" s="12" t="s">
        <v>56</v>
      </c>
    </row>
    <row r="84" spans="1:8" x14ac:dyDescent="0.3">
      <c r="A84" s="4">
        <v>46120</v>
      </c>
      <c r="B84" s="5" t="s">
        <v>85</v>
      </c>
      <c r="C84" s="5"/>
      <c r="D84" s="16">
        <v>15000</v>
      </c>
      <c r="E84" s="4">
        <v>46173</v>
      </c>
      <c r="F84" s="5" t="s">
        <v>63</v>
      </c>
      <c r="G84" s="5"/>
      <c r="H84" s="16">
        <v>39000</v>
      </c>
    </row>
    <row r="85" spans="1:8" x14ac:dyDescent="0.3">
      <c r="A85" s="4">
        <v>46132</v>
      </c>
      <c r="B85" s="5" t="s">
        <v>100</v>
      </c>
      <c r="C85" s="5"/>
      <c r="D85" s="16">
        <v>8000</v>
      </c>
      <c r="E85" s="4"/>
      <c r="F85" s="5"/>
      <c r="G85" s="5"/>
      <c r="H85" s="16"/>
    </row>
    <row r="86" spans="1:8" x14ac:dyDescent="0.3">
      <c r="A86" s="4">
        <v>46145</v>
      </c>
      <c r="B86" s="5" t="s">
        <v>85</v>
      </c>
      <c r="C86" s="5"/>
      <c r="D86" s="16">
        <v>16000</v>
      </c>
      <c r="E86" s="4"/>
      <c r="F86" s="5"/>
      <c r="G86" s="5"/>
      <c r="H86" s="16"/>
    </row>
    <row r="87" spans="1:8" x14ac:dyDescent="0.3">
      <c r="A87" s="5"/>
      <c r="B87" s="5"/>
      <c r="C87" s="5"/>
      <c r="D87" s="14">
        <f>SUM(D84:D86)</f>
        <v>39000</v>
      </c>
      <c r="E87" s="15"/>
      <c r="F87" s="15"/>
      <c r="G87" s="15"/>
      <c r="H87" s="14">
        <v>39000</v>
      </c>
    </row>
    <row r="88" spans="1:8" x14ac:dyDescent="0.3">
      <c r="A88" s="4">
        <v>46174</v>
      </c>
      <c r="B88" s="5" t="s">
        <v>86</v>
      </c>
      <c r="C88" s="5"/>
      <c r="D88" s="14">
        <v>39000</v>
      </c>
      <c r="E88" s="15"/>
      <c r="F88" s="15"/>
      <c r="G88" s="15"/>
      <c r="H88" s="14"/>
    </row>
    <row r="89" spans="1:8" x14ac:dyDescent="0.3">
      <c r="D89" s="2"/>
      <c r="H89" s="2"/>
    </row>
    <row r="90" spans="1:8" x14ac:dyDescent="0.3">
      <c r="D90" s="2"/>
      <c r="H90" s="2"/>
    </row>
    <row r="91" spans="1:8" ht="20.399999999999999" x14ac:dyDescent="0.35">
      <c r="A91" s="10" t="s">
        <v>59</v>
      </c>
      <c r="C91" s="35" t="s">
        <v>101</v>
      </c>
      <c r="D91" s="35"/>
      <c r="E91" s="35"/>
      <c r="F91" s="35"/>
      <c r="H91" s="11" t="s">
        <v>58</v>
      </c>
    </row>
    <row r="92" spans="1:8" ht="17.399999999999999" x14ac:dyDescent="0.3">
      <c r="A92" s="12" t="s">
        <v>2</v>
      </c>
      <c r="B92" s="12" t="s">
        <v>3</v>
      </c>
      <c r="C92" s="12" t="s">
        <v>55</v>
      </c>
      <c r="D92" s="13" t="s">
        <v>56</v>
      </c>
      <c r="E92" s="12" t="s">
        <v>2</v>
      </c>
      <c r="F92" s="12" t="s">
        <v>3</v>
      </c>
      <c r="G92" s="12" t="s">
        <v>55</v>
      </c>
      <c r="H92" s="12" t="s">
        <v>56</v>
      </c>
    </row>
    <row r="93" spans="1:8" x14ac:dyDescent="0.3">
      <c r="A93" s="4">
        <v>46173</v>
      </c>
      <c r="B93" s="5" t="s">
        <v>61</v>
      </c>
      <c r="C93" s="5"/>
      <c r="D93" s="6">
        <v>50200</v>
      </c>
      <c r="E93" s="4">
        <v>46122</v>
      </c>
      <c r="F93" s="5" t="s">
        <v>60</v>
      </c>
      <c r="G93" s="5"/>
      <c r="H93" s="16">
        <v>4800</v>
      </c>
    </row>
    <row r="94" spans="1:8" x14ac:dyDescent="0.3">
      <c r="A94" s="5"/>
      <c r="B94" s="5"/>
      <c r="C94" s="5"/>
      <c r="D94" s="5"/>
      <c r="E94" s="4">
        <v>46127</v>
      </c>
      <c r="F94" s="5" t="s">
        <v>60</v>
      </c>
      <c r="G94" s="5"/>
      <c r="H94" s="16">
        <v>5500</v>
      </c>
    </row>
    <row r="95" spans="1:8" x14ac:dyDescent="0.3">
      <c r="A95" s="5"/>
      <c r="B95" s="5"/>
      <c r="C95" s="5"/>
      <c r="D95" s="5"/>
      <c r="E95" s="4">
        <v>46134</v>
      </c>
      <c r="F95" s="5" t="s">
        <v>60</v>
      </c>
      <c r="G95" s="5"/>
      <c r="H95" s="16">
        <v>6300</v>
      </c>
    </row>
    <row r="96" spans="1:8" x14ac:dyDescent="0.3">
      <c r="A96" s="5"/>
      <c r="B96" s="5"/>
      <c r="C96" s="5"/>
      <c r="D96" s="5"/>
      <c r="E96" s="4">
        <v>46140</v>
      </c>
      <c r="F96" s="5" t="s">
        <v>60</v>
      </c>
      <c r="G96" s="5"/>
      <c r="H96" s="16">
        <v>7100</v>
      </c>
    </row>
    <row r="97" spans="1:8" x14ac:dyDescent="0.3">
      <c r="A97" s="5"/>
      <c r="B97" s="5"/>
      <c r="C97" s="5"/>
      <c r="D97" s="5"/>
      <c r="E97" s="4">
        <v>46150</v>
      </c>
      <c r="F97" s="5" t="s">
        <v>60</v>
      </c>
      <c r="G97" s="5"/>
      <c r="H97" s="6">
        <v>8200</v>
      </c>
    </row>
    <row r="98" spans="1:8" x14ac:dyDescent="0.3">
      <c r="A98" s="5"/>
      <c r="B98" s="5"/>
      <c r="C98" s="5"/>
      <c r="D98" s="5"/>
      <c r="E98" s="4">
        <v>46157</v>
      </c>
      <c r="F98" s="5" t="s">
        <v>60</v>
      </c>
      <c r="G98" s="5"/>
      <c r="H98" s="6">
        <v>9500</v>
      </c>
    </row>
    <row r="99" spans="1:8" x14ac:dyDescent="0.3">
      <c r="A99" s="5"/>
      <c r="B99" s="5"/>
      <c r="C99" s="5"/>
      <c r="D99" s="6"/>
      <c r="E99" s="4">
        <v>46164</v>
      </c>
      <c r="F99" s="5" t="s">
        <v>60</v>
      </c>
      <c r="G99" s="5"/>
      <c r="H99" s="6">
        <v>8800</v>
      </c>
    </row>
    <row r="100" spans="1:8" x14ac:dyDescent="0.3">
      <c r="A100" s="5"/>
      <c r="B100" s="5"/>
      <c r="C100" s="5"/>
      <c r="D100" s="14">
        <v>50200</v>
      </c>
      <c r="E100" s="15"/>
      <c r="F100" s="15"/>
      <c r="G100" s="15"/>
      <c r="H100" s="14">
        <f>SUM(H93:H99)</f>
        <v>50200</v>
      </c>
    </row>
    <row r="101" spans="1:8" x14ac:dyDescent="0.3">
      <c r="A101" s="5"/>
      <c r="B101" s="5"/>
      <c r="C101" s="5"/>
      <c r="D101" s="6"/>
      <c r="E101" s="4">
        <v>46174</v>
      </c>
      <c r="F101" s="5" t="s">
        <v>91</v>
      </c>
      <c r="G101" s="5"/>
      <c r="H101" s="14">
        <v>50200</v>
      </c>
    </row>
    <row r="102" spans="1:8" x14ac:dyDescent="0.3">
      <c r="D102" s="2"/>
      <c r="H102" s="2"/>
    </row>
    <row r="103" spans="1:8" x14ac:dyDescent="0.3">
      <c r="D103" s="2"/>
      <c r="H103" s="2"/>
    </row>
    <row r="104" spans="1:8" ht="20.399999999999999" x14ac:dyDescent="0.35">
      <c r="A104" s="10" t="s">
        <v>59</v>
      </c>
      <c r="C104" s="35" t="s">
        <v>102</v>
      </c>
      <c r="D104" s="35"/>
      <c r="E104" s="35"/>
      <c r="F104" s="35"/>
      <c r="H104" s="11" t="s">
        <v>58</v>
      </c>
    </row>
    <row r="105" spans="1:8" ht="17.399999999999999" x14ac:dyDescent="0.3">
      <c r="A105" s="12" t="s">
        <v>2</v>
      </c>
      <c r="B105" s="12" t="s">
        <v>3</v>
      </c>
      <c r="C105" s="12" t="s">
        <v>55</v>
      </c>
      <c r="D105" s="13" t="s">
        <v>56</v>
      </c>
      <c r="E105" s="12" t="s">
        <v>2</v>
      </c>
      <c r="F105" s="12" t="s">
        <v>3</v>
      </c>
      <c r="G105" s="12" t="s">
        <v>55</v>
      </c>
      <c r="H105" s="12" t="s">
        <v>56</v>
      </c>
    </row>
    <row r="106" spans="1:8" x14ac:dyDescent="0.3">
      <c r="A106" s="4">
        <v>46124</v>
      </c>
      <c r="B106" s="5" t="s">
        <v>103</v>
      </c>
      <c r="C106" s="5"/>
      <c r="D106" s="16">
        <v>3000</v>
      </c>
      <c r="E106" s="4">
        <v>46173</v>
      </c>
      <c r="F106" s="5" t="s">
        <v>63</v>
      </c>
      <c r="G106" s="5"/>
      <c r="H106" s="16">
        <v>3000</v>
      </c>
    </row>
    <row r="107" spans="1:8" x14ac:dyDescent="0.3">
      <c r="A107" s="5"/>
      <c r="B107" s="5"/>
      <c r="C107" s="5"/>
      <c r="D107" s="14">
        <v>3000</v>
      </c>
      <c r="E107" s="27"/>
      <c r="F107" s="15"/>
      <c r="G107" s="15"/>
      <c r="H107" s="14">
        <v>3000</v>
      </c>
    </row>
    <row r="108" spans="1:8" x14ac:dyDescent="0.3">
      <c r="A108" s="4">
        <v>46174</v>
      </c>
      <c r="B108" s="5" t="s">
        <v>86</v>
      </c>
      <c r="C108" s="5"/>
      <c r="D108" s="14">
        <v>3000</v>
      </c>
      <c r="E108" s="27"/>
      <c r="F108" s="15"/>
      <c r="G108" s="15"/>
      <c r="H108" s="14"/>
    </row>
    <row r="109" spans="1:8" x14ac:dyDescent="0.3">
      <c r="A109" s="30"/>
      <c r="B109" s="30"/>
      <c r="C109" s="30"/>
      <c r="D109" s="31"/>
      <c r="E109" s="32"/>
      <c r="F109" s="30"/>
      <c r="G109" s="30"/>
      <c r="H109" s="33"/>
    </row>
    <row r="110" spans="1:8" x14ac:dyDescent="0.3">
      <c r="D110" s="23"/>
      <c r="E110" s="22"/>
      <c r="H110" s="29"/>
    </row>
    <row r="111" spans="1:8" ht="20.399999999999999" x14ac:dyDescent="0.35">
      <c r="A111" s="10" t="s">
        <v>59</v>
      </c>
      <c r="C111" s="35" t="s">
        <v>104</v>
      </c>
      <c r="D111" s="35"/>
      <c r="E111" s="35"/>
      <c r="F111" s="35"/>
      <c r="H111" s="11" t="s">
        <v>58</v>
      </c>
    </row>
    <row r="112" spans="1:8" ht="17.399999999999999" x14ac:dyDescent="0.3">
      <c r="A112" s="12" t="s">
        <v>2</v>
      </c>
      <c r="B112" s="12" t="s">
        <v>3</v>
      </c>
      <c r="C112" s="12" t="s">
        <v>55</v>
      </c>
      <c r="D112" s="13" t="s">
        <v>56</v>
      </c>
      <c r="E112" s="12" t="s">
        <v>2</v>
      </c>
      <c r="F112" s="12" t="s">
        <v>3</v>
      </c>
      <c r="G112" s="12" t="s">
        <v>55</v>
      </c>
      <c r="H112" s="12" t="s">
        <v>56</v>
      </c>
    </row>
    <row r="113" spans="1:8" x14ac:dyDescent="0.3">
      <c r="A113" s="4">
        <v>46130</v>
      </c>
      <c r="B113" s="5" t="s">
        <v>85</v>
      </c>
      <c r="C113" s="5"/>
      <c r="D113" s="16">
        <v>2200</v>
      </c>
      <c r="E113" s="4">
        <v>46173</v>
      </c>
      <c r="F113" s="5" t="s">
        <v>63</v>
      </c>
      <c r="G113" s="5"/>
      <c r="H113" s="16">
        <v>4700</v>
      </c>
    </row>
    <row r="114" spans="1:8" x14ac:dyDescent="0.3">
      <c r="A114" s="4">
        <v>46162</v>
      </c>
      <c r="B114" s="5" t="s">
        <v>85</v>
      </c>
      <c r="C114" s="5"/>
      <c r="D114" s="16">
        <v>2500</v>
      </c>
      <c r="E114" s="4"/>
      <c r="F114" s="5"/>
      <c r="G114" s="5"/>
      <c r="H114" s="16"/>
    </row>
    <row r="115" spans="1:8" x14ac:dyDescent="0.3">
      <c r="A115" s="5"/>
      <c r="B115" s="5"/>
      <c r="C115" s="5"/>
      <c r="D115" s="14">
        <v>4700</v>
      </c>
      <c r="E115" s="27"/>
      <c r="F115" s="15"/>
      <c r="G115" s="15"/>
      <c r="H115" s="14">
        <v>4700</v>
      </c>
    </row>
    <row r="116" spans="1:8" x14ac:dyDescent="0.3">
      <c r="A116" s="4">
        <v>46174</v>
      </c>
      <c r="B116" s="5" t="s">
        <v>86</v>
      </c>
      <c r="C116" s="5"/>
      <c r="D116" s="14">
        <v>4700</v>
      </c>
      <c r="E116" s="27"/>
      <c r="F116" s="15"/>
      <c r="G116" s="15"/>
      <c r="H116" s="14"/>
    </row>
    <row r="117" spans="1:8" x14ac:dyDescent="0.3">
      <c r="D117" s="2"/>
      <c r="H117" s="2"/>
    </row>
    <row r="118" spans="1:8" x14ac:dyDescent="0.3">
      <c r="D118" s="2"/>
      <c r="H118" s="2"/>
    </row>
    <row r="119" spans="1:8" ht="20.399999999999999" x14ac:dyDescent="0.35">
      <c r="A119" s="10" t="s">
        <v>59</v>
      </c>
      <c r="C119" s="35" t="s">
        <v>105</v>
      </c>
      <c r="D119" s="35"/>
      <c r="E119" s="35"/>
      <c r="F119" s="35"/>
      <c r="H119" s="11" t="s">
        <v>58</v>
      </c>
    </row>
    <row r="120" spans="1:8" ht="17.399999999999999" x14ac:dyDescent="0.3">
      <c r="A120" s="12" t="s">
        <v>2</v>
      </c>
      <c r="B120" s="12" t="s">
        <v>3</v>
      </c>
      <c r="C120" s="12" t="s">
        <v>55</v>
      </c>
      <c r="D120" s="13" t="s">
        <v>56</v>
      </c>
      <c r="E120" s="12" t="s">
        <v>2</v>
      </c>
      <c r="F120" s="12" t="s">
        <v>3</v>
      </c>
      <c r="G120" s="12" t="s">
        <v>55</v>
      </c>
      <c r="H120" s="12" t="s">
        <v>56</v>
      </c>
    </row>
    <row r="121" spans="1:8" x14ac:dyDescent="0.3">
      <c r="A121" s="4">
        <v>46137</v>
      </c>
      <c r="B121" s="5" t="s">
        <v>85</v>
      </c>
      <c r="C121" s="5"/>
      <c r="D121" s="16">
        <v>8000</v>
      </c>
      <c r="E121" s="4">
        <v>46132</v>
      </c>
      <c r="F121" s="5" t="s">
        <v>70</v>
      </c>
      <c r="G121" s="5"/>
      <c r="H121" s="16">
        <v>8000</v>
      </c>
    </row>
    <row r="122" spans="1:8" x14ac:dyDescent="0.3">
      <c r="A122" s="4"/>
      <c r="B122" s="5"/>
      <c r="C122" s="5"/>
      <c r="D122" s="14">
        <v>8000</v>
      </c>
      <c r="E122" s="27"/>
      <c r="F122" s="15"/>
      <c r="G122" s="15"/>
      <c r="H122" s="14">
        <v>8000</v>
      </c>
    </row>
    <row r="123" spans="1:8" x14ac:dyDescent="0.3">
      <c r="D123" s="29"/>
      <c r="E123" s="22"/>
      <c r="H123" s="29"/>
    </row>
    <row r="124" spans="1:8" x14ac:dyDescent="0.3">
      <c r="A124" s="22"/>
      <c r="D124" s="29"/>
      <c r="E124" s="22"/>
      <c r="H124" s="29"/>
    </row>
    <row r="125" spans="1:8" ht="20.399999999999999" x14ac:dyDescent="0.35">
      <c r="A125" s="10" t="s">
        <v>59</v>
      </c>
      <c r="C125" s="35" t="s">
        <v>106</v>
      </c>
      <c r="D125" s="35"/>
      <c r="E125" s="35"/>
      <c r="F125" s="35"/>
      <c r="H125" s="11" t="s">
        <v>58</v>
      </c>
    </row>
    <row r="126" spans="1:8" ht="17.399999999999999" x14ac:dyDescent="0.3">
      <c r="A126" s="12" t="s">
        <v>2</v>
      </c>
      <c r="B126" s="12" t="s">
        <v>3</v>
      </c>
      <c r="C126" s="12" t="s">
        <v>55</v>
      </c>
      <c r="D126" s="13" t="s">
        <v>56</v>
      </c>
      <c r="E126" s="12" t="s">
        <v>2</v>
      </c>
      <c r="F126" s="12" t="s">
        <v>3</v>
      </c>
      <c r="G126" s="12" t="s">
        <v>55</v>
      </c>
      <c r="H126" s="12" t="s">
        <v>56</v>
      </c>
    </row>
    <row r="127" spans="1:8" x14ac:dyDescent="0.3">
      <c r="A127" s="4">
        <v>46138</v>
      </c>
      <c r="B127" s="5" t="s">
        <v>85</v>
      </c>
      <c r="C127" s="5"/>
      <c r="D127" s="16">
        <v>800</v>
      </c>
      <c r="E127" s="4">
        <v>46173</v>
      </c>
      <c r="F127" s="5" t="s">
        <v>63</v>
      </c>
      <c r="G127" s="5"/>
      <c r="H127" s="16">
        <v>800</v>
      </c>
    </row>
    <row r="128" spans="1:8" x14ac:dyDescent="0.3">
      <c r="A128" s="4"/>
      <c r="B128" s="5"/>
      <c r="C128" s="5"/>
      <c r="D128" s="14">
        <v>800</v>
      </c>
      <c r="E128" s="27"/>
      <c r="F128" s="15"/>
      <c r="G128" s="15"/>
      <c r="H128" s="14">
        <v>800</v>
      </c>
    </row>
    <row r="129" spans="1:8" x14ac:dyDescent="0.3">
      <c r="A129" s="4">
        <v>46174</v>
      </c>
      <c r="B129" s="5" t="s">
        <v>86</v>
      </c>
      <c r="C129" s="5"/>
      <c r="D129" s="14">
        <v>800</v>
      </c>
      <c r="E129" s="15"/>
      <c r="F129" s="15"/>
      <c r="G129" s="15"/>
      <c r="H129" s="14"/>
    </row>
    <row r="130" spans="1:8" x14ac:dyDescent="0.3">
      <c r="D130" s="2"/>
      <c r="H130" s="2"/>
    </row>
    <row r="131" spans="1:8" x14ac:dyDescent="0.3">
      <c r="D131" s="2"/>
      <c r="H131" s="2"/>
    </row>
    <row r="132" spans="1:8" ht="20.399999999999999" x14ac:dyDescent="0.35">
      <c r="A132" s="10" t="s">
        <v>59</v>
      </c>
      <c r="C132" s="35" t="s">
        <v>107</v>
      </c>
      <c r="D132" s="35"/>
      <c r="E132" s="35"/>
      <c r="F132" s="35"/>
      <c r="H132" s="11" t="s">
        <v>58</v>
      </c>
    </row>
    <row r="133" spans="1:8" ht="17.399999999999999" x14ac:dyDescent="0.3">
      <c r="A133" s="12" t="s">
        <v>2</v>
      </c>
      <c r="B133" s="12" t="s">
        <v>3</v>
      </c>
      <c r="C133" s="12" t="s">
        <v>55</v>
      </c>
      <c r="D133" s="13" t="s">
        <v>56</v>
      </c>
      <c r="E133" s="12" t="s">
        <v>2</v>
      </c>
      <c r="F133" s="12" t="s">
        <v>3</v>
      </c>
      <c r="G133" s="12" t="s">
        <v>55</v>
      </c>
      <c r="H133" s="12" t="s">
        <v>56</v>
      </c>
    </row>
    <row r="134" spans="1:8" x14ac:dyDescent="0.3">
      <c r="A134" s="4">
        <v>46142</v>
      </c>
      <c r="B134" s="5" t="s">
        <v>85</v>
      </c>
      <c r="C134" s="5"/>
      <c r="D134" s="16">
        <v>24000</v>
      </c>
      <c r="E134" s="4">
        <v>46173</v>
      </c>
      <c r="F134" s="5" t="s">
        <v>63</v>
      </c>
      <c r="G134" s="5"/>
      <c r="H134" s="16">
        <v>48000</v>
      </c>
    </row>
    <row r="135" spans="1:8" x14ac:dyDescent="0.3">
      <c r="A135" s="4">
        <v>46173</v>
      </c>
      <c r="B135" s="5" t="s">
        <v>85</v>
      </c>
      <c r="C135" s="5"/>
      <c r="D135" s="16">
        <v>24000</v>
      </c>
      <c r="E135" s="4"/>
      <c r="F135" s="5"/>
      <c r="G135" s="5"/>
      <c r="H135" s="16"/>
    </row>
    <row r="136" spans="1:8" x14ac:dyDescent="0.3">
      <c r="A136" s="4"/>
      <c r="B136" s="5"/>
      <c r="C136" s="5"/>
      <c r="D136" s="14">
        <v>48000</v>
      </c>
      <c r="E136" s="15"/>
      <c r="F136" s="15"/>
      <c r="G136" s="15"/>
      <c r="H136" s="14">
        <v>48000</v>
      </c>
    </row>
    <row r="137" spans="1:8" x14ac:dyDescent="0.3">
      <c r="A137" s="4">
        <v>46174</v>
      </c>
      <c r="B137" s="5" t="s">
        <v>86</v>
      </c>
      <c r="C137" s="5"/>
      <c r="D137" s="14">
        <v>48000</v>
      </c>
      <c r="E137" s="15"/>
      <c r="F137" s="15"/>
      <c r="G137" s="15"/>
      <c r="H137" s="14"/>
    </row>
    <row r="138" spans="1:8" x14ac:dyDescent="0.3">
      <c r="D138" s="2"/>
      <c r="H138" s="2"/>
    </row>
    <row r="139" spans="1:8" x14ac:dyDescent="0.3">
      <c r="D139" s="2"/>
      <c r="H139" s="2"/>
    </row>
    <row r="140" spans="1:8" ht="20.399999999999999" x14ac:dyDescent="0.35">
      <c r="A140" s="10" t="s">
        <v>59</v>
      </c>
      <c r="C140" s="35" t="s">
        <v>108</v>
      </c>
      <c r="D140" s="35"/>
      <c r="E140" s="35"/>
      <c r="F140" s="35"/>
      <c r="H140" s="11" t="s">
        <v>58</v>
      </c>
    </row>
    <row r="141" spans="1:8" ht="17.399999999999999" x14ac:dyDescent="0.3">
      <c r="A141" s="12" t="s">
        <v>2</v>
      </c>
      <c r="B141" s="12" t="s">
        <v>3</v>
      </c>
      <c r="C141" s="12" t="s">
        <v>55</v>
      </c>
      <c r="D141" s="13" t="s">
        <v>56</v>
      </c>
      <c r="E141" s="12" t="s">
        <v>2</v>
      </c>
      <c r="F141" s="12" t="s">
        <v>3</v>
      </c>
      <c r="G141" s="12" t="s">
        <v>55</v>
      </c>
      <c r="H141" s="12" t="s">
        <v>56</v>
      </c>
    </row>
    <row r="142" spans="1:8" x14ac:dyDescent="0.3">
      <c r="A142" s="4">
        <v>46152</v>
      </c>
      <c r="B142" s="5" t="s">
        <v>109</v>
      </c>
      <c r="C142" s="5"/>
      <c r="D142" s="16">
        <v>1499</v>
      </c>
      <c r="E142" s="4">
        <v>46173</v>
      </c>
      <c r="F142" s="5" t="s">
        <v>63</v>
      </c>
      <c r="G142" s="5"/>
      <c r="H142" s="16">
        <v>1499</v>
      </c>
    </row>
    <row r="143" spans="1:8" x14ac:dyDescent="0.3">
      <c r="A143" s="4"/>
      <c r="B143" s="5"/>
      <c r="C143" s="5"/>
      <c r="D143" s="14">
        <v>1499</v>
      </c>
      <c r="E143" s="27"/>
      <c r="F143" s="15"/>
      <c r="G143" s="15"/>
      <c r="H143" s="14">
        <v>1499</v>
      </c>
    </row>
    <row r="144" spans="1:8" x14ac:dyDescent="0.3">
      <c r="A144" s="4">
        <v>46174</v>
      </c>
      <c r="B144" s="5" t="s">
        <v>86</v>
      </c>
      <c r="C144" s="5"/>
      <c r="D144" s="14">
        <v>1499</v>
      </c>
      <c r="E144" s="15"/>
      <c r="F144" s="15"/>
      <c r="G144" s="15"/>
      <c r="H144" s="14"/>
    </row>
    <row r="145" spans="1:8" x14ac:dyDescent="0.3">
      <c r="D145" s="2"/>
      <c r="H145" s="2"/>
    </row>
    <row r="146" spans="1:8" x14ac:dyDescent="0.3">
      <c r="D146" s="2"/>
      <c r="H146" s="2"/>
    </row>
    <row r="147" spans="1:8" ht="20.399999999999999" x14ac:dyDescent="0.35">
      <c r="A147" s="10" t="s">
        <v>59</v>
      </c>
      <c r="C147" s="35" t="s">
        <v>110</v>
      </c>
      <c r="D147" s="35"/>
      <c r="E147" s="35"/>
      <c r="F147" s="35"/>
      <c r="H147" s="11" t="s">
        <v>58</v>
      </c>
    </row>
    <row r="148" spans="1:8" ht="17.399999999999999" x14ac:dyDescent="0.3">
      <c r="A148" s="12" t="s">
        <v>2</v>
      </c>
      <c r="B148" s="12" t="s">
        <v>3</v>
      </c>
      <c r="C148" s="12" t="s">
        <v>55</v>
      </c>
      <c r="D148" s="13" t="s">
        <v>56</v>
      </c>
      <c r="E148" s="12" t="s">
        <v>2</v>
      </c>
      <c r="F148" s="12" t="s">
        <v>3</v>
      </c>
      <c r="G148" s="12" t="s">
        <v>55</v>
      </c>
      <c r="H148" s="12" t="s">
        <v>56</v>
      </c>
    </row>
    <row r="149" spans="1:8" x14ac:dyDescent="0.3">
      <c r="A149" s="36">
        <v>46154</v>
      </c>
      <c r="B149" s="37" t="s">
        <v>85</v>
      </c>
      <c r="C149" s="37"/>
      <c r="D149" s="16">
        <v>4000</v>
      </c>
      <c r="E149" s="36">
        <v>46173</v>
      </c>
      <c r="F149" s="37" t="s">
        <v>63</v>
      </c>
      <c r="G149" s="37"/>
      <c r="H149" s="16">
        <v>4000</v>
      </c>
    </row>
    <row r="150" spans="1:8" x14ac:dyDescent="0.3">
      <c r="A150" s="36"/>
      <c r="B150" s="37"/>
      <c r="C150" s="37"/>
      <c r="D150" s="14">
        <v>4000</v>
      </c>
      <c r="E150" s="27"/>
      <c r="F150" s="15"/>
      <c r="G150" s="15"/>
      <c r="H150" s="14">
        <v>4000</v>
      </c>
    </row>
    <row r="151" spans="1:8" x14ac:dyDescent="0.3">
      <c r="A151" s="36">
        <v>46174</v>
      </c>
      <c r="B151" s="37" t="s">
        <v>86</v>
      </c>
      <c r="C151" s="37"/>
      <c r="D151" s="14">
        <v>4000</v>
      </c>
      <c r="E151" s="15"/>
      <c r="F151" s="15"/>
      <c r="G151" s="15"/>
      <c r="H151" s="14"/>
    </row>
    <row r="152" spans="1:8" x14ac:dyDescent="0.3">
      <c r="D152" s="2"/>
      <c r="H152" s="2"/>
    </row>
    <row r="153" spans="1:8" x14ac:dyDescent="0.3">
      <c r="D153" s="2"/>
      <c r="H153" s="2"/>
    </row>
    <row r="154" spans="1:8" ht="20.399999999999999" x14ac:dyDescent="0.35">
      <c r="A154" s="10" t="s">
        <v>59</v>
      </c>
      <c r="C154" s="35" t="s">
        <v>111</v>
      </c>
      <c r="D154" s="35"/>
      <c r="E154" s="35"/>
      <c r="F154" s="35"/>
      <c r="H154" s="11" t="s">
        <v>58</v>
      </c>
    </row>
    <row r="155" spans="1:8" ht="17.399999999999999" x14ac:dyDescent="0.3">
      <c r="A155" s="12" t="s">
        <v>2</v>
      </c>
      <c r="B155" s="12" t="s">
        <v>3</v>
      </c>
      <c r="C155" s="12" t="s">
        <v>55</v>
      </c>
      <c r="D155" s="13" t="s">
        <v>56</v>
      </c>
      <c r="E155" s="12" t="s">
        <v>2</v>
      </c>
      <c r="F155" s="12" t="s">
        <v>3</v>
      </c>
      <c r="G155" s="12" t="s">
        <v>55</v>
      </c>
      <c r="H155" s="12" t="s">
        <v>56</v>
      </c>
    </row>
    <row r="156" spans="1:8" x14ac:dyDescent="0.3">
      <c r="A156" s="36">
        <v>46170</v>
      </c>
      <c r="B156" s="37" t="s">
        <v>85</v>
      </c>
      <c r="C156" s="37"/>
      <c r="D156" s="16">
        <v>2500</v>
      </c>
      <c r="E156" s="36">
        <v>46173</v>
      </c>
      <c r="F156" s="37" t="s">
        <v>63</v>
      </c>
      <c r="G156" s="37"/>
      <c r="H156" s="16">
        <v>2500</v>
      </c>
    </row>
    <row r="157" spans="1:8" x14ac:dyDescent="0.3">
      <c r="A157" s="36"/>
      <c r="B157" s="37"/>
      <c r="C157" s="37"/>
      <c r="D157" s="14">
        <v>2500</v>
      </c>
      <c r="E157" s="27"/>
      <c r="F157" s="15"/>
      <c r="G157" s="15"/>
      <c r="H157" s="14">
        <v>2500</v>
      </c>
    </row>
    <row r="158" spans="1:8" x14ac:dyDescent="0.3">
      <c r="A158" s="36">
        <v>46174</v>
      </c>
      <c r="B158" s="37" t="s">
        <v>86</v>
      </c>
      <c r="C158" s="37"/>
      <c r="D158" s="14">
        <v>2500</v>
      </c>
      <c r="E158" s="15"/>
      <c r="F158" s="15"/>
      <c r="G158" s="15"/>
      <c r="H158" s="14"/>
    </row>
    <row r="159" spans="1:8" x14ac:dyDescent="0.3">
      <c r="D159" s="2"/>
      <c r="H159" s="2"/>
    </row>
    <row r="160" spans="1:8" x14ac:dyDescent="0.3">
      <c r="D160" s="2"/>
      <c r="H160" s="2"/>
    </row>
    <row r="161" spans="1:8" ht="20.399999999999999" x14ac:dyDescent="0.35">
      <c r="A161" s="10" t="s">
        <v>59</v>
      </c>
      <c r="C161" s="35" t="s">
        <v>112</v>
      </c>
      <c r="D161" s="35"/>
      <c r="E161" s="35"/>
      <c r="F161" s="35"/>
      <c r="H161" s="11" t="s">
        <v>58</v>
      </c>
    </row>
    <row r="162" spans="1:8" ht="17.399999999999999" x14ac:dyDescent="0.3">
      <c r="A162" s="12" t="s">
        <v>2</v>
      </c>
      <c r="B162" s="12" t="s">
        <v>3</v>
      </c>
      <c r="C162" s="12" t="s">
        <v>55</v>
      </c>
      <c r="D162" s="13" t="s">
        <v>56</v>
      </c>
      <c r="E162" s="12" t="s">
        <v>2</v>
      </c>
      <c r="F162" s="12" t="s">
        <v>3</v>
      </c>
      <c r="G162" s="12" t="s">
        <v>55</v>
      </c>
      <c r="H162" s="12" t="s">
        <v>56</v>
      </c>
    </row>
    <row r="163" spans="1:8" x14ac:dyDescent="0.3">
      <c r="A163" s="36">
        <v>46160</v>
      </c>
      <c r="B163" s="37" t="s">
        <v>85</v>
      </c>
      <c r="C163" s="37"/>
      <c r="D163" s="16">
        <v>9800</v>
      </c>
      <c r="E163" s="36">
        <v>46173</v>
      </c>
      <c r="F163" s="37" t="s">
        <v>63</v>
      </c>
      <c r="G163" s="37"/>
      <c r="H163" s="16">
        <v>9800</v>
      </c>
    </row>
    <row r="164" spans="1:8" x14ac:dyDescent="0.3">
      <c r="A164" s="36"/>
      <c r="B164" s="37"/>
      <c r="C164" s="37"/>
      <c r="D164" s="14">
        <v>9800</v>
      </c>
      <c r="E164" s="27"/>
      <c r="F164" s="15"/>
      <c r="G164" s="15"/>
      <c r="H164" s="14">
        <v>9800</v>
      </c>
    </row>
    <row r="165" spans="1:8" x14ac:dyDescent="0.3">
      <c r="A165" s="36">
        <v>46174</v>
      </c>
      <c r="B165" s="37" t="s">
        <v>86</v>
      </c>
      <c r="C165" s="37"/>
      <c r="D165" s="14">
        <v>9800</v>
      </c>
      <c r="E165" s="15"/>
      <c r="F165" s="15"/>
      <c r="G165" s="15"/>
      <c r="H165" s="14"/>
    </row>
    <row r="166" spans="1:8" x14ac:dyDescent="0.3">
      <c r="D166" s="2"/>
      <c r="H166" s="2"/>
    </row>
    <row r="167" spans="1:8" x14ac:dyDescent="0.3">
      <c r="D167" s="2"/>
      <c r="H167" s="2"/>
    </row>
    <row r="168" spans="1:8" ht="20.399999999999999" x14ac:dyDescent="0.35">
      <c r="A168" s="10" t="s">
        <v>59</v>
      </c>
      <c r="C168" s="35" t="s">
        <v>113</v>
      </c>
      <c r="D168" s="35"/>
      <c r="E168" s="35"/>
      <c r="F168" s="35"/>
      <c r="H168" s="11" t="s">
        <v>58</v>
      </c>
    </row>
    <row r="169" spans="1:8" ht="17.399999999999999" x14ac:dyDescent="0.3">
      <c r="A169" s="12" t="s">
        <v>2</v>
      </c>
      <c r="B169" s="12" t="s">
        <v>3</v>
      </c>
      <c r="C169" s="12" t="s">
        <v>55</v>
      </c>
      <c r="D169" s="13" t="s">
        <v>56</v>
      </c>
      <c r="E169" s="12" t="s">
        <v>2</v>
      </c>
      <c r="F169" s="12" t="s">
        <v>3</v>
      </c>
      <c r="G169" s="12" t="s">
        <v>55</v>
      </c>
      <c r="H169" s="12" t="s">
        <v>56</v>
      </c>
    </row>
    <row r="170" spans="1:8" x14ac:dyDescent="0.3">
      <c r="A170" s="36">
        <v>46172</v>
      </c>
      <c r="B170" s="37" t="s">
        <v>85</v>
      </c>
      <c r="C170" s="37"/>
      <c r="D170" s="16">
        <v>3000</v>
      </c>
      <c r="E170" s="36">
        <v>46173</v>
      </c>
      <c r="F170" s="37" t="s">
        <v>63</v>
      </c>
      <c r="G170" s="37"/>
      <c r="H170" s="16">
        <v>3000</v>
      </c>
    </row>
    <row r="171" spans="1:8" x14ac:dyDescent="0.3">
      <c r="A171" s="36"/>
      <c r="B171" s="37"/>
      <c r="C171" s="37"/>
      <c r="D171" s="14">
        <v>3000</v>
      </c>
      <c r="E171" s="27"/>
      <c r="F171" s="15"/>
      <c r="G171" s="15"/>
      <c r="H171" s="14">
        <v>3000</v>
      </c>
    </row>
    <row r="172" spans="1:8" x14ac:dyDescent="0.3">
      <c r="A172" s="36">
        <v>46174</v>
      </c>
      <c r="B172" s="37" t="s">
        <v>86</v>
      </c>
      <c r="C172" s="37"/>
      <c r="D172" s="14">
        <v>3000</v>
      </c>
      <c r="E172" s="15"/>
      <c r="F172" s="15"/>
      <c r="G172" s="15"/>
      <c r="H172" s="14"/>
    </row>
    <row r="173" spans="1:8" x14ac:dyDescent="0.3">
      <c r="D173" s="2"/>
      <c r="H173" s="2"/>
    </row>
    <row r="174" spans="1:8" x14ac:dyDescent="0.3">
      <c r="D174" s="2"/>
      <c r="H174" s="2"/>
    </row>
    <row r="175" spans="1:8" x14ac:dyDescent="0.3">
      <c r="D175" s="2"/>
      <c r="H175" s="2"/>
    </row>
    <row r="176" spans="1:8" x14ac:dyDescent="0.3">
      <c r="D176" s="2"/>
      <c r="H176" s="2"/>
    </row>
    <row r="177" spans="4:8" x14ac:dyDescent="0.3">
      <c r="D177" s="2"/>
      <c r="H177" s="2"/>
    </row>
    <row r="178" spans="4:8" x14ac:dyDescent="0.3">
      <c r="D178" s="2"/>
      <c r="H178" s="2"/>
    </row>
    <row r="179" spans="4:8" x14ac:dyDescent="0.3">
      <c r="D179" s="2"/>
      <c r="H179" s="2"/>
    </row>
    <row r="180" spans="4:8" x14ac:dyDescent="0.3">
      <c r="D180" s="2"/>
      <c r="H180" s="2"/>
    </row>
    <row r="181" spans="4:8" x14ac:dyDescent="0.3">
      <c r="D181" s="2"/>
      <c r="H181" s="2"/>
    </row>
    <row r="182" spans="4:8" x14ac:dyDescent="0.3">
      <c r="D182" s="2"/>
      <c r="H182" s="2"/>
    </row>
    <row r="183" spans="4:8" x14ac:dyDescent="0.3">
      <c r="D183" s="2"/>
      <c r="H183" s="2"/>
    </row>
    <row r="184" spans="4:8" x14ac:dyDescent="0.3">
      <c r="D184" s="2"/>
      <c r="H184" s="2"/>
    </row>
    <row r="185" spans="4:8" x14ac:dyDescent="0.3">
      <c r="D185" s="2"/>
      <c r="H185" s="2"/>
    </row>
    <row r="186" spans="4:8" x14ac:dyDescent="0.3">
      <c r="D186" s="2"/>
      <c r="H186" s="2"/>
    </row>
    <row r="187" spans="4:8" x14ac:dyDescent="0.3">
      <c r="D187" s="2"/>
      <c r="H187" s="2"/>
    </row>
    <row r="188" spans="4:8" x14ac:dyDescent="0.3">
      <c r="D188" s="2"/>
      <c r="H188" s="2"/>
    </row>
    <row r="189" spans="4:8" x14ac:dyDescent="0.3">
      <c r="D189" s="2"/>
      <c r="H189" s="2"/>
    </row>
    <row r="190" spans="4:8" x14ac:dyDescent="0.3">
      <c r="D190" s="2"/>
      <c r="H190" s="2"/>
    </row>
    <row r="191" spans="4:8" x14ac:dyDescent="0.3">
      <c r="D191" s="2"/>
      <c r="H191" s="2"/>
    </row>
    <row r="192" spans="4:8" x14ac:dyDescent="0.3">
      <c r="D192" s="2"/>
      <c r="H192" s="2"/>
    </row>
    <row r="193" spans="4:8" x14ac:dyDescent="0.3">
      <c r="D193" s="2"/>
      <c r="H193" s="2"/>
    </row>
    <row r="194" spans="4:8" x14ac:dyDescent="0.3">
      <c r="D194" s="2"/>
      <c r="H194" s="2"/>
    </row>
    <row r="195" spans="4:8" x14ac:dyDescent="0.3">
      <c r="D195" s="2"/>
      <c r="H195" s="2"/>
    </row>
    <row r="196" spans="4:8" x14ac:dyDescent="0.3">
      <c r="D196" s="2"/>
      <c r="H196" s="2"/>
    </row>
    <row r="197" spans="4:8" x14ac:dyDescent="0.3">
      <c r="D197" s="2"/>
      <c r="H197" s="2"/>
    </row>
    <row r="198" spans="4:8" x14ac:dyDescent="0.3">
      <c r="D198" s="2"/>
      <c r="H198" s="2"/>
    </row>
    <row r="199" spans="4:8" x14ac:dyDescent="0.3">
      <c r="D199" s="2"/>
      <c r="H199" s="2"/>
    </row>
    <row r="200" spans="4:8" x14ac:dyDescent="0.3">
      <c r="D200" s="2"/>
      <c r="H200" s="2"/>
    </row>
    <row r="201" spans="4:8" x14ac:dyDescent="0.3">
      <c r="D201" s="2"/>
      <c r="H201" s="2"/>
    </row>
    <row r="202" spans="4:8" x14ac:dyDescent="0.3">
      <c r="D202" s="2"/>
      <c r="H202" s="2"/>
    </row>
    <row r="203" spans="4:8" x14ac:dyDescent="0.3">
      <c r="D203" s="2"/>
      <c r="H203" s="2"/>
    </row>
    <row r="204" spans="4:8" x14ac:dyDescent="0.3">
      <c r="D204" s="2"/>
      <c r="H204" s="2"/>
    </row>
    <row r="205" spans="4:8" x14ac:dyDescent="0.3">
      <c r="D205" s="2"/>
      <c r="H205" s="2"/>
    </row>
    <row r="206" spans="4:8" x14ac:dyDescent="0.3">
      <c r="D206" s="2"/>
      <c r="H206" s="2"/>
    </row>
    <row r="207" spans="4:8" x14ac:dyDescent="0.3">
      <c r="D207" s="2"/>
      <c r="H207" s="2"/>
    </row>
    <row r="208" spans="4:8" x14ac:dyDescent="0.3">
      <c r="D208" s="2"/>
      <c r="H208" s="2"/>
    </row>
    <row r="209" spans="4:8" x14ac:dyDescent="0.3">
      <c r="D209" s="2"/>
      <c r="H209" s="2"/>
    </row>
    <row r="210" spans="4:8" x14ac:dyDescent="0.3">
      <c r="D210" s="2"/>
      <c r="H210" s="2"/>
    </row>
    <row r="211" spans="4:8" x14ac:dyDescent="0.3">
      <c r="D211" s="2"/>
      <c r="H211" s="2"/>
    </row>
    <row r="212" spans="4:8" x14ac:dyDescent="0.3">
      <c r="D212" s="2"/>
      <c r="H212" s="2"/>
    </row>
    <row r="213" spans="4:8" x14ac:dyDescent="0.3">
      <c r="D213" s="2"/>
      <c r="H213" s="2"/>
    </row>
    <row r="214" spans="4:8" x14ac:dyDescent="0.3">
      <c r="D214" s="2"/>
      <c r="H214" s="2"/>
    </row>
    <row r="215" spans="4:8" x14ac:dyDescent="0.3">
      <c r="D215" s="2"/>
      <c r="H215" s="2"/>
    </row>
    <row r="216" spans="4:8" x14ac:dyDescent="0.3">
      <c r="D216" s="2"/>
      <c r="H216" s="2"/>
    </row>
    <row r="217" spans="4:8" x14ac:dyDescent="0.3">
      <c r="D217" s="2"/>
      <c r="H217" s="2"/>
    </row>
    <row r="218" spans="4:8" x14ac:dyDescent="0.3">
      <c r="D218" s="2"/>
      <c r="H218" s="2"/>
    </row>
    <row r="219" spans="4:8" x14ac:dyDescent="0.3">
      <c r="D219" s="2"/>
      <c r="H219" s="2"/>
    </row>
    <row r="220" spans="4:8" x14ac:dyDescent="0.3">
      <c r="D220" s="2"/>
      <c r="H220" s="2"/>
    </row>
    <row r="221" spans="4:8" x14ac:dyDescent="0.3">
      <c r="D221" s="2"/>
      <c r="H221" s="2"/>
    </row>
    <row r="222" spans="4:8" x14ac:dyDescent="0.3">
      <c r="D222" s="2"/>
      <c r="H222" s="2"/>
    </row>
    <row r="223" spans="4:8" x14ac:dyDescent="0.3">
      <c r="D223" s="2"/>
      <c r="H223" s="2"/>
    </row>
    <row r="224" spans="4:8" x14ac:dyDescent="0.3">
      <c r="D224" s="2"/>
      <c r="H224" s="2"/>
    </row>
    <row r="225" spans="4:8" x14ac:dyDescent="0.3">
      <c r="D225" s="2"/>
      <c r="H225" s="2"/>
    </row>
    <row r="226" spans="4:8" x14ac:dyDescent="0.3">
      <c r="D226" s="2"/>
      <c r="H226" s="2"/>
    </row>
    <row r="227" spans="4:8" x14ac:dyDescent="0.3">
      <c r="D227" s="2"/>
      <c r="H227" s="2"/>
    </row>
    <row r="228" spans="4:8" x14ac:dyDescent="0.3">
      <c r="D228" s="2"/>
      <c r="H228" s="2"/>
    </row>
    <row r="229" spans="4:8" x14ac:dyDescent="0.3">
      <c r="D229" s="2"/>
      <c r="H229" s="2"/>
    </row>
    <row r="230" spans="4:8" x14ac:dyDescent="0.3">
      <c r="D230" s="2"/>
      <c r="H230" s="2"/>
    </row>
    <row r="231" spans="4:8" x14ac:dyDescent="0.3">
      <c r="D231" s="2"/>
      <c r="H231" s="2"/>
    </row>
    <row r="232" spans="4:8" x14ac:dyDescent="0.3">
      <c r="D232" s="2"/>
      <c r="H232" s="2"/>
    </row>
    <row r="233" spans="4:8" x14ac:dyDescent="0.3">
      <c r="D233" s="2"/>
      <c r="H233" s="2"/>
    </row>
    <row r="234" spans="4:8" x14ac:dyDescent="0.3">
      <c r="D234" s="2"/>
      <c r="H234" s="2"/>
    </row>
    <row r="235" spans="4:8" x14ac:dyDescent="0.3">
      <c r="D235" s="2"/>
      <c r="H235" s="2"/>
    </row>
    <row r="236" spans="4:8" x14ac:dyDescent="0.3">
      <c r="D236" s="2"/>
      <c r="H236" s="2"/>
    </row>
    <row r="237" spans="4:8" x14ac:dyDescent="0.3">
      <c r="D237" s="2"/>
      <c r="H237" s="2"/>
    </row>
    <row r="238" spans="4:8" x14ac:dyDescent="0.3">
      <c r="D238" s="2"/>
      <c r="H238" s="2"/>
    </row>
    <row r="239" spans="4:8" x14ac:dyDescent="0.3">
      <c r="D239" s="2"/>
      <c r="H239" s="2"/>
    </row>
    <row r="240" spans="4:8" x14ac:dyDescent="0.3">
      <c r="D240" s="2"/>
      <c r="H240" s="2"/>
    </row>
    <row r="241" spans="4:8" x14ac:dyDescent="0.3">
      <c r="D241" s="2"/>
      <c r="H241" s="2"/>
    </row>
    <row r="242" spans="4:8" x14ac:dyDescent="0.3">
      <c r="D242" s="2"/>
      <c r="H242" s="2"/>
    </row>
    <row r="243" spans="4:8" x14ac:dyDescent="0.3">
      <c r="D243" s="2"/>
      <c r="H243" s="2"/>
    </row>
    <row r="244" spans="4:8" x14ac:dyDescent="0.3">
      <c r="D244" s="2"/>
      <c r="H244" s="2"/>
    </row>
    <row r="245" spans="4:8" x14ac:dyDescent="0.3">
      <c r="D245" s="2"/>
      <c r="H245" s="2"/>
    </row>
    <row r="246" spans="4:8" x14ac:dyDescent="0.3">
      <c r="D246" s="2"/>
      <c r="H246" s="2"/>
    </row>
    <row r="247" spans="4:8" x14ac:dyDescent="0.3">
      <c r="D247" s="2"/>
      <c r="H247" s="2"/>
    </row>
    <row r="248" spans="4:8" x14ac:dyDescent="0.3">
      <c r="D248" s="2"/>
      <c r="H248" s="2"/>
    </row>
    <row r="249" spans="4:8" x14ac:dyDescent="0.3">
      <c r="D249" s="2"/>
      <c r="H249" s="2"/>
    </row>
    <row r="250" spans="4:8" x14ac:dyDescent="0.3">
      <c r="D250" s="2"/>
      <c r="H250" s="2"/>
    </row>
    <row r="251" spans="4:8" x14ac:dyDescent="0.3">
      <c r="D251" s="2"/>
      <c r="H251" s="2"/>
    </row>
    <row r="252" spans="4:8" x14ac:dyDescent="0.3">
      <c r="D252" s="2"/>
      <c r="H252" s="2"/>
    </row>
    <row r="253" spans="4:8" x14ac:dyDescent="0.3">
      <c r="D253" s="2"/>
      <c r="H253" s="2"/>
    </row>
    <row r="254" spans="4:8" x14ac:dyDescent="0.3">
      <c r="D254" s="2"/>
      <c r="H254" s="2"/>
    </row>
    <row r="255" spans="4:8" x14ac:dyDescent="0.3">
      <c r="D255" s="2"/>
      <c r="H255" s="2"/>
    </row>
    <row r="256" spans="4:8" x14ac:dyDescent="0.3">
      <c r="D256" s="2"/>
      <c r="H256" s="2"/>
    </row>
    <row r="257" spans="4:8" x14ac:dyDescent="0.3">
      <c r="D257" s="2"/>
      <c r="H257" s="2"/>
    </row>
    <row r="258" spans="4:8" x14ac:dyDescent="0.3">
      <c r="D258" s="2"/>
      <c r="H258" s="2"/>
    </row>
    <row r="259" spans="4:8" x14ac:dyDescent="0.3">
      <c r="D259" s="2"/>
      <c r="H259" s="2"/>
    </row>
    <row r="260" spans="4:8" x14ac:dyDescent="0.3">
      <c r="D260" s="2"/>
      <c r="H260" s="2"/>
    </row>
    <row r="261" spans="4:8" x14ac:dyDescent="0.3">
      <c r="D261" s="2"/>
      <c r="H261" s="2"/>
    </row>
    <row r="262" spans="4:8" x14ac:dyDescent="0.3">
      <c r="D262" s="2"/>
      <c r="H262" s="2"/>
    </row>
    <row r="263" spans="4:8" x14ac:dyDescent="0.3">
      <c r="D263" s="2"/>
      <c r="H263" s="2"/>
    </row>
    <row r="264" spans="4:8" x14ac:dyDescent="0.3">
      <c r="D264" s="2"/>
      <c r="H264" s="2"/>
    </row>
    <row r="265" spans="4:8" x14ac:dyDescent="0.3">
      <c r="D265" s="2"/>
      <c r="H265" s="2"/>
    </row>
    <row r="266" spans="4:8" x14ac:dyDescent="0.3">
      <c r="D266" s="2"/>
      <c r="H266" s="2"/>
    </row>
    <row r="267" spans="4:8" x14ac:dyDescent="0.3">
      <c r="D267" s="2"/>
      <c r="H267" s="2"/>
    </row>
    <row r="268" spans="4:8" x14ac:dyDescent="0.3">
      <c r="D268" s="2"/>
      <c r="H268" s="2"/>
    </row>
    <row r="269" spans="4:8" x14ac:dyDescent="0.3">
      <c r="D269" s="2"/>
      <c r="H269" s="2"/>
    </row>
    <row r="270" spans="4:8" x14ac:dyDescent="0.3">
      <c r="D270" s="2"/>
      <c r="H270" s="2"/>
    </row>
    <row r="271" spans="4:8" x14ac:dyDescent="0.3">
      <c r="D271" s="2"/>
      <c r="H271" s="2"/>
    </row>
    <row r="272" spans="4:8" x14ac:dyDescent="0.3">
      <c r="D272" s="2"/>
      <c r="H272" s="2"/>
    </row>
    <row r="273" spans="4:8" x14ac:dyDescent="0.3">
      <c r="D273" s="2"/>
      <c r="H273" s="2"/>
    </row>
    <row r="274" spans="4:8" x14ac:dyDescent="0.3">
      <c r="D274" s="2"/>
      <c r="H274" s="2"/>
    </row>
    <row r="275" spans="4:8" x14ac:dyDescent="0.3">
      <c r="D275" s="2"/>
      <c r="H275" s="2"/>
    </row>
    <row r="276" spans="4:8" x14ac:dyDescent="0.3">
      <c r="D276" s="2"/>
      <c r="H276" s="2"/>
    </row>
    <row r="277" spans="4:8" x14ac:dyDescent="0.3">
      <c r="D277" s="2"/>
      <c r="H277" s="2"/>
    </row>
    <row r="278" spans="4:8" x14ac:dyDescent="0.3">
      <c r="D278" s="2"/>
      <c r="H278" s="2"/>
    </row>
    <row r="279" spans="4:8" x14ac:dyDescent="0.3">
      <c r="D279" s="2"/>
      <c r="H279" s="2"/>
    </row>
    <row r="280" spans="4:8" x14ac:dyDescent="0.3">
      <c r="D280" s="2"/>
      <c r="H280" s="2"/>
    </row>
    <row r="281" spans="4:8" x14ac:dyDescent="0.3">
      <c r="D281" s="2"/>
      <c r="H281" s="2"/>
    </row>
    <row r="282" spans="4:8" x14ac:dyDescent="0.3">
      <c r="D282" s="2"/>
      <c r="H282" s="2"/>
    </row>
    <row r="283" spans="4:8" x14ac:dyDescent="0.3">
      <c r="D283" s="2"/>
      <c r="H283" s="2"/>
    </row>
    <row r="284" spans="4:8" x14ac:dyDescent="0.3">
      <c r="D284" s="2"/>
      <c r="H284" s="2"/>
    </row>
    <row r="285" spans="4:8" x14ac:dyDescent="0.3">
      <c r="D285" s="2"/>
      <c r="H285" s="2"/>
    </row>
    <row r="286" spans="4:8" x14ac:dyDescent="0.3">
      <c r="D286" s="2"/>
      <c r="H286" s="2"/>
    </row>
    <row r="287" spans="4:8" x14ac:dyDescent="0.3">
      <c r="D287" s="2"/>
      <c r="H287" s="2"/>
    </row>
    <row r="288" spans="4:8" x14ac:dyDescent="0.3">
      <c r="D288" s="2"/>
      <c r="H288" s="2"/>
    </row>
    <row r="289" spans="4:8" x14ac:dyDescent="0.3">
      <c r="D289" s="2"/>
      <c r="H289" s="2"/>
    </row>
    <row r="290" spans="4:8" x14ac:dyDescent="0.3">
      <c r="D290" s="2"/>
      <c r="H290" s="2"/>
    </row>
    <row r="291" spans="4:8" x14ac:dyDescent="0.3">
      <c r="D291" s="2"/>
      <c r="H291" s="2"/>
    </row>
    <row r="292" spans="4:8" x14ac:dyDescent="0.3">
      <c r="D292" s="2"/>
      <c r="H292" s="2"/>
    </row>
    <row r="293" spans="4:8" x14ac:dyDescent="0.3">
      <c r="D293" s="2"/>
      <c r="H293" s="2"/>
    </row>
    <row r="294" spans="4:8" x14ac:dyDescent="0.3">
      <c r="D294" s="2"/>
      <c r="H294" s="2"/>
    </row>
    <row r="295" spans="4:8" x14ac:dyDescent="0.3">
      <c r="D295" s="2"/>
      <c r="H295" s="2"/>
    </row>
    <row r="296" spans="4:8" x14ac:dyDescent="0.3">
      <c r="D296" s="2"/>
      <c r="H296" s="2"/>
    </row>
    <row r="297" spans="4:8" x14ac:dyDescent="0.3">
      <c r="D297" s="2"/>
      <c r="H297" s="2"/>
    </row>
    <row r="298" spans="4:8" x14ac:dyDescent="0.3">
      <c r="D298" s="2"/>
      <c r="H298" s="2"/>
    </row>
    <row r="299" spans="4:8" x14ac:dyDescent="0.3">
      <c r="D299" s="2"/>
      <c r="H299" s="2"/>
    </row>
    <row r="300" spans="4:8" x14ac:dyDescent="0.3">
      <c r="D300" s="2"/>
      <c r="H300" s="2"/>
    </row>
    <row r="301" spans="4:8" x14ac:dyDescent="0.3">
      <c r="D301" s="2"/>
      <c r="H301" s="2"/>
    </row>
    <row r="302" spans="4:8" x14ac:dyDescent="0.3">
      <c r="D302" s="2"/>
      <c r="H302" s="2"/>
    </row>
    <row r="303" spans="4:8" x14ac:dyDescent="0.3">
      <c r="D303" s="2"/>
      <c r="H303" s="2"/>
    </row>
    <row r="304" spans="4:8" x14ac:dyDescent="0.3">
      <c r="D304" s="2"/>
      <c r="H304" s="2"/>
    </row>
    <row r="305" spans="4:8" x14ac:dyDescent="0.3">
      <c r="D305" s="2"/>
      <c r="H305" s="2"/>
    </row>
    <row r="306" spans="4:8" x14ac:dyDescent="0.3">
      <c r="D306" s="2"/>
      <c r="H306" s="2"/>
    </row>
    <row r="307" spans="4:8" x14ac:dyDescent="0.3">
      <c r="D307" s="2"/>
      <c r="H307" s="2"/>
    </row>
    <row r="308" spans="4:8" x14ac:dyDescent="0.3">
      <c r="D308" s="2"/>
      <c r="H308" s="2"/>
    </row>
    <row r="309" spans="4:8" x14ac:dyDescent="0.3">
      <c r="D309" s="2"/>
      <c r="H309" s="2"/>
    </row>
    <row r="310" spans="4:8" x14ac:dyDescent="0.3">
      <c r="D310" s="2"/>
      <c r="H310" s="2"/>
    </row>
    <row r="311" spans="4:8" x14ac:dyDescent="0.3">
      <c r="D311" s="2"/>
      <c r="H311" s="2"/>
    </row>
    <row r="312" spans="4:8" x14ac:dyDescent="0.3">
      <c r="D312" s="2"/>
      <c r="H312" s="2"/>
    </row>
    <row r="313" spans="4:8" x14ac:dyDescent="0.3">
      <c r="D313" s="2"/>
      <c r="H313" s="2"/>
    </row>
    <row r="314" spans="4:8" x14ac:dyDescent="0.3">
      <c r="D314" s="2"/>
      <c r="H314" s="2"/>
    </row>
    <row r="315" spans="4:8" x14ac:dyDescent="0.3">
      <c r="D315" s="2"/>
      <c r="H315" s="2"/>
    </row>
    <row r="316" spans="4:8" x14ac:dyDescent="0.3">
      <c r="D316" s="2"/>
      <c r="H316" s="2"/>
    </row>
    <row r="317" spans="4:8" x14ac:dyDescent="0.3">
      <c r="D317" s="2"/>
      <c r="H317" s="2"/>
    </row>
    <row r="318" spans="4:8" x14ac:dyDescent="0.3">
      <c r="D318" s="2"/>
      <c r="H318" s="2"/>
    </row>
    <row r="319" spans="4:8" x14ac:dyDescent="0.3">
      <c r="D319" s="2"/>
    </row>
    <row r="320" spans="4:8" x14ac:dyDescent="0.3">
      <c r="D320" s="2"/>
    </row>
    <row r="321" spans="4:4" x14ac:dyDescent="0.3">
      <c r="D321" s="2"/>
    </row>
    <row r="322" spans="4:4" x14ac:dyDescent="0.3">
      <c r="D322" s="2"/>
    </row>
    <row r="323" spans="4:4" x14ac:dyDescent="0.3">
      <c r="D323" s="2"/>
    </row>
    <row r="324" spans="4:4" x14ac:dyDescent="0.3">
      <c r="D324" s="2"/>
    </row>
    <row r="325" spans="4:4" x14ac:dyDescent="0.3">
      <c r="D325" s="2"/>
    </row>
    <row r="326" spans="4:4" x14ac:dyDescent="0.3">
      <c r="D326" s="2"/>
    </row>
  </sheetData>
  <mergeCells count="21">
    <mergeCell ref="C147:F147"/>
    <mergeCell ref="C154:F154"/>
    <mergeCell ref="C161:F161"/>
    <mergeCell ref="C168:F168"/>
    <mergeCell ref="A1:H1"/>
    <mergeCell ref="C3:F3"/>
    <mergeCell ref="C10:F10"/>
    <mergeCell ref="C35:F35"/>
    <mergeCell ref="C45:F45"/>
    <mergeCell ref="C132:F132"/>
    <mergeCell ref="C140:F140"/>
    <mergeCell ref="C53:F53"/>
    <mergeCell ref="C104:F104"/>
    <mergeCell ref="C111:F111"/>
    <mergeCell ref="C119:F119"/>
    <mergeCell ref="C125:F125"/>
    <mergeCell ref="C60:F60"/>
    <mergeCell ref="C67:F67"/>
    <mergeCell ref="C75:F75"/>
    <mergeCell ref="C82:F82"/>
    <mergeCell ref="C91:F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0781-746E-4407-9120-4237B654F29C}">
  <dimension ref="A1:D206"/>
  <sheetViews>
    <sheetView topLeftCell="A2" workbookViewId="0">
      <selection activeCell="F10" sqref="F10"/>
    </sheetView>
  </sheetViews>
  <sheetFormatPr defaultRowHeight="14.4" x14ac:dyDescent="0.3"/>
  <cols>
    <col min="1" max="1" width="6.33203125" bestFit="1" customWidth="1"/>
    <col min="2" max="2" width="31.88671875" customWidth="1"/>
    <col min="3" max="4" width="17.88671875" customWidth="1"/>
  </cols>
  <sheetData>
    <row r="1" spans="1:4" ht="45.6" customHeight="1" x14ac:dyDescent="0.35">
      <c r="A1" s="34" t="s">
        <v>115</v>
      </c>
      <c r="B1" s="34"/>
      <c r="C1" s="34"/>
      <c r="D1" s="34"/>
    </row>
    <row r="3" spans="1:4" ht="17.399999999999999" x14ac:dyDescent="0.3">
      <c r="A3" s="12" t="s">
        <v>114</v>
      </c>
      <c r="B3" s="12" t="s">
        <v>3</v>
      </c>
      <c r="C3" s="12" t="s">
        <v>6</v>
      </c>
      <c r="D3" s="12" t="s">
        <v>5</v>
      </c>
    </row>
    <row r="4" spans="1:4" x14ac:dyDescent="0.3">
      <c r="A4" s="5">
        <v>1</v>
      </c>
      <c r="B4" s="5" t="s">
        <v>0</v>
      </c>
      <c r="C4" s="6">
        <v>186401</v>
      </c>
      <c r="D4" s="6"/>
    </row>
    <row r="5" spans="1:4" x14ac:dyDescent="0.3">
      <c r="A5" s="5">
        <v>2</v>
      </c>
      <c r="B5" s="5" t="s">
        <v>9</v>
      </c>
      <c r="C5" s="6">
        <v>380000</v>
      </c>
      <c r="D5" s="6"/>
    </row>
    <row r="6" spans="1:4" x14ac:dyDescent="0.3">
      <c r="A6" s="5">
        <v>3</v>
      </c>
      <c r="B6" s="5" t="s">
        <v>12</v>
      </c>
      <c r="C6" s="6">
        <v>60000</v>
      </c>
      <c r="D6" s="6"/>
    </row>
    <row r="7" spans="1:4" x14ac:dyDescent="0.3">
      <c r="A7" s="5">
        <v>4</v>
      </c>
      <c r="B7" s="5" t="s">
        <v>15</v>
      </c>
      <c r="C7" s="6">
        <v>75000</v>
      </c>
      <c r="D7" s="6"/>
    </row>
    <row r="8" spans="1:4" x14ac:dyDescent="0.3">
      <c r="A8" s="5">
        <v>5</v>
      </c>
      <c r="B8" s="5" t="s">
        <v>17</v>
      </c>
      <c r="C8" s="6">
        <v>55000</v>
      </c>
      <c r="D8" s="6"/>
    </row>
    <row r="9" spans="1:4" x14ac:dyDescent="0.3">
      <c r="A9" s="5">
        <v>6</v>
      </c>
      <c r="B9" s="5" t="s">
        <v>19</v>
      </c>
      <c r="C9" s="6">
        <v>2500</v>
      </c>
      <c r="D9" s="6"/>
    </row>
    <row r="10" spans="1:4" x14ac:dyDescent="0.3">
      <c r="A10" s="5">
        <v>7</v>
      </c>
      <c r="B10" s="5" t="s">
        <v>117</v>
      </c>
      <c r="C10" s="6">
        <v>39000</v>
      </c>
      <c r="D10" s="6"/>
    </row>
    <row r="11" spans="1:4" x14ac:dyDescent="0.3">
      <c r="A11" s="5">
        <v>8</v>
      </c>
      <c r="B11" s="5" t="s">
        <v>26</v>
      </c>
      <c r="C11" s="6">
        <v>3000</v>
      </c>
      <c r="D11" s="6"/>
    </row>
    <row r="12" spans="1:4" x14ac:dyDescent="0.3">
      <c r="A12" s="5">
        <v>9</v>
      </c>
      <c r="B12" s="5" t="s">
        <v>118</v>
      </c>
      <c r="C12" s="6">
        <v>4700</v>
      </c>
      <c r="D12" s="6"/>
    </row>
    <row r="13" spans="1:4" x14ac:dyDescent="0.3">
      <c r="A13" s="5">
        <v>10</v>
      </c>
      <c r="B13" s="5" t="s">
        <v>119</v>
      </c>
      <c r="C13" s="6" t="s">
        <v>120</v>
      </c>
      <c r="D13" s="6" t="s">
        <v>120</v>
      </c>
    </row>
    <row r="14" spans="1:4" x14ac:dyDescent="0.3">
      <c r="A14" s="5">
        <v>11</v>
      </c>
      <c r="B14" s="5" t="s">
        <v>121</v>
      </c>
      <c r="C14" s="6">
        <v>800</v>
      </c>
      <c r="D14" s="6"/>
    </row>
    <row r="15" spans="1:4" x14ac:dyDescent="0.3">
      <c r="A15" s="5">
        <v>12</v>
      </c>
      <c r="B15" s="5" t="s">
        <v>38</v>
      </c>
      <c r="C15" s="6">
        <v>48000</v>
      </c>
      <c r="D15" s="6"/>
    </row>
    <row r="16" spans="1:4" x14ac:dyDescent="0.3">
      <c r="A16" s="5">
        <v>13</v>
      </c>
      <c r="B16" s="5" t="s">
        <v>122</v>
      </c>
      <c r="C16" s="6">
        <v>1499</v>
      </c>
      <c r="D16" s="6"/>
    </row>
    <row r="17" spans="1:4" x14ac:dyDescent="0.3">
      <c r="A17" s="5">
        <v>14</v>
      </c>
      <c r="B17" s="5" t="s">
        <v>44</v>
      </c>
      <c r="C17" s="6">
        <v>4000</v>
      </c>
      <c r="D17" s="6"/>
    </row>
    <row r="18" spans="1:4" x14ac:dyDescent="0.3">
      <c r="A18" s="5">
        <v>15</v>
      </c>
      <c r="B18" s="5" t="s">
        <v>123</v>
      </c>
      <c r="C18" s="6">
        <v>2500</v>
      </c>
      <c r="D18" s="6"/>
    </row>
    <row r="19" spans="1:4" x14ac:dyDescent="0.3">
      <c r="A19" s="5">
        <v>16</v>
      </c>
      <c r="B19" s="5" t="s">
        <v>124</v>
      </c>
      <c r="C19" s="6">
        <v>9800</v>
      </c>
      <c r="D19" s="6"/>
    </row>
    <row r="20" spans="1:4" x14ac:dyDescent="0.3">
      <c r="A20" s="5">
        <v>17</v>
      </c>
      <c r="B20" s="5" t="s">
        <v>125</v>
      </c>
      <c r="C20" s="6">
        <v>3000</v>
      </c>
      <c r="D20" s="6"/>
    </row>
    <row r="21" spans="1:4" x14ac:dyDescent="0.3">
      <c r="A21" s="5">
        <v>18</v>
      </c>
      <c r="B21" s="5" t="s">
        <v>126</v>
      </c>
      <c r="C21" s="6"/>
      <c r="D21" s="6">
        <v>800000</v>
      </c>
    </row>
    <row r="22" spans="1:4" x14ac:dyDescent="0.3">
      <c r="A22" s="5">
        <v>19</v>
      </c>
      <c r="B22" s="5" t="s">
        <v>116</v>
      </c>
      <c r="C22" s="6"/>
      <c r="D22" s="6">
        <v>25000</v>
      </c>
    </row>
    <row r="23" spans="1:4" x14ac:dyDescent="0.3">
      <c r="A23" s="5">
        <v>20</v>
      </c>
      <c r="B23" s="5" t="s">
        <v>127</v>
      </c>
      <c r="C23" s="6"/>
      <c r="D23" s="6">
        <v>50200</v>
      </c>
    </row>
    <row r="24" spans="1:4" x14ac:dyDescent="0.3">
      <c r="A24" s="5"/>
      <c r="B24" s="38" t="s">
        <v>128</v>
      </c>
      <c r="C24" s="14">
        <f>SUM(C14:C20,C4:C12)</f>
        <v>875200</v>
      </c>
      <c r="D24" s="14">
        <f>SUM(D21:D23)</f>
        <v>875200</v>
      </c>
    </row>
    <row r="25" spans="1:4" x14ac:dyDescent="0.3">
      <c r="C25" s="2"/>
      <c r="D25" s="2"/>
    </row>
    <row r="26" spans="1:4" x14ac:dyDescent="0.3">
      <c r="C26" s="2"/>
      <c r="D26" s="2"/>
    </row>
    <row r="27" spans="1:4" x14ac:dyDescent="0.3">
      <c r="C27" s="2"/>
      <c r="D27" s="2"/>
    </row>
    <row r="28" spans="1:4" x14ac:dyDescent="0.3">
      <c r="C28" s="2"/>
      <c r="D28" s="2"/>
    </row>
    <row r="29" spans="1:4" x14ac:dyDescent="0.3">
      <c r="C29" s="2"/>
      <c r="D29" s="2"/>
    </row>
    <row r="30" spans="1:4" x14ac:dyDescent="0.3">
      <c r="C30" s="2"/>
      <c r="D30" s="2"/>
    </row>
    <row r="31" spans="1:4" x14ac:dyDescent="0.3">
      <c r="C31" s="2"/>
      <c r="D31" s="2"/>
    </row>
    <row r="32" spans="1:4" x14ac:dyDescent="0.3">
      <c r="C32" s="2"/>
      <c r="D32" s="2"/>
    </row>
    <row r="33" spans="3:4" x14ac:dyDescent="0.3">
      <c r="C33" s="2"/>
      <c r="D33" s="2"/>
    </row>
    <row r="34" spans="3:4" x14ac:dyDescent="0.3">
      <c r="C34" s="2"/>
      <c r="D34" s="2"/>
    </row>
    <row r="35" spans="3:4" x14ac:dyDescent="0.3">
      <c r="C35" s="2"/>
      <c r="D35" s="2"/>
    </row>
    <row r="36" spans="3:4" x14ac:dyDescent="0.3">
      <c r="C36" s="2"/>
      <c r="D36" s="2"/>
    </row>
    <row r="37" spans="3:4" x14ac:dyDescent="0.3">
      <c r="C37" s="2"/>
      <c r="D37" s="2"/>
    </row>
    <row r="38" spans="3:4" x14ac:dyDescent="0.3">
      <c r="C38" s="2"/>
      <c r="D38" s="2"/>
    </row>
    <row r="39" spans="3:4" x14ac:dyDescent="0.3">
      <c r="C39" s="2"/>
      <c r="D39" s="2"/>
    </row>
    <row r="40" spans="3:4" x14ac:dyDescent="0.3">
      <c r="C40" s="2"/>
      <c r="D40" s="2"/>
    </row>
    <row r="41" spans="3:4" x14ac:dyDescent="0.3">
      <c r="C41" s="2"/>
      <c r="D41" s="2"/>
    </row>
    <row r="42" spans="3:4" x14ac:dyDescent="0.3">
      <c r="C42" s="2"/>
      <c r="D42" s="2"/>
    </row>
    <row r="43" spans="3:4" x14ac:dyDescent="0.3">
      <c r="C43" s="2"/>
      <c r="D43" s="2"/>
    </row>
    <row r="44" spans="3:4" x14ac:dyDescent="0.3">
      <c r="C44" s="2"/>
      <c r="D44" s="2"/>
    </row>
    <row r="45" spans="3:4" x14ac:dyDescent="0.3">
      <c r="C45" s="2"/>
      <c r="D45" s="2"/>
    </row>
    <row r="46" spans="3:4" x14ac:dyDescent="0.3">
      <c r="C46" s="2"/>
      <c r="D46" s="2"/>
    </row>
    <row r="47" spans="3:4" x14ac:dyDescent="0.3">
      <c r="C47" s="2"/>
      <c r="D47" s="2"/>
    </row>
    <row r="48" spans="3:4" x14ac:dyDescent="0.3">
      <c r="C48" s="2"/>
      <c r="D48" s="2"/>
    </row>
    <row r="49" spans="3:4" x14ac:dyDescent="0.3">
      <c r="C49" s="2"/>
      <c r="D49" s="2"/>
    </row>
    <row r="50" spans="3:4" x14ac:dyDescent="0.3">
      <c r="C50" s="2"/>
      <c r="D50" s="2"/>
    </row>
    <row r="51" spans="3:4" x14ac:dyDescent="0.3">
      <c r="C51" s="2"/>
      <c r="D51" s="2"/>
    </row>
    <row r="52" spans="3:4" x14ac:dyDescent="0.3">
      <c r="C52" s="2"/>
      <c r="D52" s="2"/>
    </row>
    <row r="53" spans="3:4" x14ac:dyDescent="0.3">
      <c r="C53" s="2"/>
      <c r="D53" s="2"/>
    </row>
    <row r="54" spans="3:4" x14ac:dyDescent="0.3">
      <c r="C54" s="2"/>
      <c r="D54" s="2"/>
    </row>
    <row r="55" spans="3:4" x14ac:dyDescent="0.3">
      <c r="C55" s="2"/>
      <c r="D55" s="2"/>
    </row>
    <row r="56" spans="3:4" x14ac:dyDescent="0.3">
      <c r="C56" s="2"/>
      <c r="D56" s="2"/>
    </row>
    <row r="57" spans="3:4" x14ac:dyDescent="0.3">
      <c r="C57" s="2"/>
      <c r="D57" s="2"/>
    </row>
    <row r="58" spans="3:4" x14ac:dyDescent="0.3">
      <c r="C58" s="2"/>
      <c r="D58" s="2"/>
    </row>
    <row r="59" spans="3:4" x14ac:dyDescent="0.3">
      <c r="C59" s="2"/>
      <c r="D59" s="2"/>
    </row>
    <row r="60" spans="3:4" x14ac:dyDescent="0.3">
      <c r="C60" s="2"/>
      <c r="D60" s="2"/>
    </row>
    <row r="61" spans="3:4" x14ac:dyDescent="0.3">
      <c r="C61" s="2"/>
      <c r="D61" s="2"/>
    </row>
    <row r="62" spans="3:4" x14ac:dyDescent="0.3">
      <c r="C62" s="2"/>
      <c r="D62" s="2"/>
    </row>
    <row r="63" spans="3:4" x14ac:dyDescent="0.3">
      <c r="C63" s="2"/>
      <c r="D63" s="2"/>
    </row>
    <row r="64" spans="3:4" x14ac:dyDescent="0.3">
      <c r="C64" s="2"/>
      <c r="D64" s="2"/>
    </row>
    <row r="65" spans="3:4" x14ac:dyDescent="0.3">
      <c r="C65" s="2"/>
      <c r="D65" s="2"/>
    </row>
    <row r="66" spans="3:4" x14ac:dyDescent="0.3">
      <c r="C66" s="2"/>
      <c r="D66" s="2"/>
    </row>
    <row r="67" spans="3:4" x14ac:dyDescent="0.3">
      <c r="C67" s="2"/>
      <c r="D67" s="2"/>
    </row>
    <row r="68" spans="3:4" x14ac:dyDescent="0.3">
      <c r="C68" s="2"/>
      <c r="D68" s="2"/>
    </row>
    <row r="69" spans="3:4" x14ac:dyDescent="0.3">
      <c r="C69" s="2"/>
      <c r="D69" s="2"/>
    </row>
    <row r="70" spans="3:4" x14ac:dyDescent="0.3">
      <c r="C70" s="2"/>
      <c r="D70" s="2"/>
    </row>
    <row r="71" spans="3:4" x14ac:dyDescent="0.3">
      <c r="C71" s="2"/>
      <c r="D71" s="2"/>
    </row>
    <row r="72" spans="3:4" x14ac:dyDescent="0.3">
      <c r="C72" s="2"/>
      <c r="D72" s="2"/>
    </row>
    <row r="73" spans="3:4" x14ac:dyDescent="0.3">
      <c r="C73" s="2"/>
      <c r="D73" s="2"/>
    </row>
    <row r="74" spans="3:4" x14ac:dyDescent="0.3">
      <c r="C74" s="2"/>
      <c r="D74" s="2"/>
    </row>
    <row r="75" spans="3:4" x14ac:dyDescent="0.3">
      <c r="C75" s="2"/>
      <c r="D75" s="2"/>
    </row>
    <row r="76" spans="3:4" x14ac:dyDescent="0.3">
      <c r="C76" s="2"/>
      <c r="D76" s="2"/>
    </row>
    <row r="77" spans="3:4" x14ac:dyDescent="0.3">
      <c r="C77" s="2"/>
      <c r="D77" s="2"/>
    </row>
    <row r="78" spans="3:4" x14ac:dyDescent="0.3">
      <c r="C78" s="2"/>
    </row>
    <row r="79" spans="3:4" x14ac:dyDescent="0.3">
      <c r="C79" s="2"/>
    </row>
    <row r="80" spans="3:4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4C7C-0586-4E33-9917-AC43F682E0EA}">
  <dimension ref="A1"/>
  <sheetViews>
    <sheetView tabSelected="1"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5C0F-0A6A-409F-A751-B07FD915ECC6}">
  <dimension ref="A1"/>
  <sheetViews>
    <sheetView workbookViewId="0">
      <selection activeCell="I25" sqref="I25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9BA4-BDA1-4F47-9092-94FD8E7E66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Problem.</vt:lpstr>
      <vt:lpstr>Journal.</vt:lpstr>
      <vt:lpstr>Ledger.</vt:lpstr>
      <vt:lpstr>Trial Balance.</vt:lpstr>
      <vt:lpstr>Trading Account.</vt:lpstr>
      <vt:lpstr>P&amp;L.</vt:lpstr>
      <vt:lpstr>Balance Sheet.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maharaja247876@gmail.com</dc:creator>
  <cp:lastModifiedBy>maharaja247876@gmail.com</cp:lastModifiedBy>
  <dcterms:created xsi:type="dcterms:W3CDTF">2026-07-06T03:11:05Z</dcterms:created>
  <dcterms:modified xsi:type="dcterms:W3CDTF">2026-07-07T13:56:08Z</dcterms:modified>
</cp:coreProperties>
</file>